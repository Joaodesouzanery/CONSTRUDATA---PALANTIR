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FCP SEMANAL" sheetId="3" state="visible" r:id="rId5"/>
    <sheet name="FCP MENSAL" sheetId="4" state="visible" r:id="rId6"/>
    <sheet name="ECONÔMICO" sheetId="5" state="visible" r:id="rId7"/>
    <sheet name="VIABILIDADE" sheetId="6" state="visible" r:id="rId8"/>
    <sheet name="CUSTOS BERTIOGA" sheetId="7" state="visible" r:id="rId9"/>
    <sheet name="CUSTOS SANTOS" sheetId="8" state="visible" r:id="rId10"/>
    <sheet name="AUX" sheetId="9" state="visible" r:id="rId11"/>
    <sheet name="PREÇOS BERTIOGA" sheetId="10" state="visible" r:id="rId12"/>
    <sheet name="PREÇOS SANTO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<sst xmlns="http://schemas.openxmlformats.org/spreadsheetml/2006/main" count="2406" uniqueCount="1292">
  <si>
    <t xml:space="preserve">FLUXO DE CAIXA PROJETADO — BERTIOGA + SANTOS (GLOBAL)</t>
  </si>
  <si>
    <t xml:space="preserve">Gerado em 25/08/2026 a partir de: Fluxo Trimestral Obra.xlsx (custos e tickets) · Adiantamento Bertioga.xlsx (mobilização) · tabelas de preços GJ/BT e Santos II · método do modelo Custo_Equipe_Rede_Esgoto (defasagem de recebimento e capital inicial).</t>
  </si>
  <si>
    <t xml:space="preserve">COMO USAR</t>
  </si>
  <si>
    <t xml:space="preserve">1. Tudo se controla na aba PREMISSAS: cenário de produção (MÍNIMA / MÉDIA / BOA / ÓTIMA), defasagem de recebimento, imposto da nota (22%), tickets médios e mix água/esgoto de Santos.</t>
  </si>
  <si>
    <t xml:space="preserve">2. Os custos vivem nas abas CUSTOS BERTIOGA e CUSTOS SANTOS. A seção 7 das PREMISSAS define QUEM PAGA cada bloco (consórcio × WCR) e se ele desconta da medição.</t>
  </si>
  <si>
    <t xml:space="preserve">3. FCP SEMANAL e FCP MENSAL = FINANCEIRO (caixa da WCR). ECONÔMICO = margem real do contrato por competência. VIABILIDADE = produção necessária (visão econômica).</t>
  </si>
  <si>
    <t xml:space="preserve">4. VIABILIDADE mostra quantos serviços por dia cada cidade precisa entregar em cada cenário. A aba AUX só faz conta — não precisa mexer.</t>
  </si>
  <si>
    <t xml:space="preserve">5. Toda semana, lance a PRODUÇÃO REALIZADA na seção PLANEJADO × REALIZADO do FCP SEMANAL (células verdes). Medição, recebimento, FCP MENSAL e ECONÔMICO atualizam sozinhos; semana sem lançamento usa o planejado.</t>
  </si>
  <si>
    <t xml:space="preserve">LEGENDA DE CORES</t>
  </si>
  <si>
    <t xml:space="preserve">AZUL = valor editável (premissa) · PRETO = fórmula · VERDE = puxa de outra aba · FUNDO AMARELO = premissa crítica — confirme antes de decidir.</t>
  </si>
  <si>
    <t xml:space="preserve">Custo mensal GLOBAL da operação (todos os custos)</t>
  </si>
  <si>
    <t xml:space="preserve">Custos bancados pelo consórcio (descontados da medição)</t>
  </si>
  <si>
    <t xml:space="preserve">Custos pagos pela WCR (caixa próprio)</t>
  </si>
  <si>
    <t xml:space="preserve">Resultado econômico no horizonte (margem real)</t>
  </si>
  <si>
    <t xml:space="preserve">Pior ponto do trimestre no caixa da WCR (FCP SEMANAL)</t>
  </si>
  <si>
    <t xml:space="preserve">CAPITAL RECOMENDADO — WCR (necessidade máxima + contingência)</t>
  </si>
  <si>
    <t xml:space="preserve">AVISOS IMPORTANTES</t>
  </si>
  <si>
    <t xml:space="preserve">• A produção MÍNIMA aqui é maior que na sua planilha anterior: lá o empate não descontava o imposto da nota (22%). Ex.: Bertioga 8,98 → 11,5 serviços/dia. A linha cinza da VIABILIDADE mostra a referência antiga.</t>
  </si>
  <si>
    <t xml:space="preserve">• A medição fecha no fim do mês e é paga com a defasagem da PREMISSAS!C9. Até o primeiro recebimento a obra roda no caixa próprio — esse é o número do CAPITAL RECOMENDADO.</t>
  </si>
  <si>
    <t xml:space="preserve">• O kit ferramenta (R$ 28.800 por cidade) segue como custo MENSAL, igual à sua planilha. Se for compra única, mova para a mobilização nas PREMISSAS — o custo mensal cai e a viabilidade melhora.</t>
  </si>
  <si>
    <t xml:space="preserve">• Os preços de Santos foram transcritos de fotos; itens com dígito cortado estão marcados 'conferir' na aba PREÇOS SANTOS.</t>
  </si>
  <si>
    <t xml:space="preserve">• O 1º mês entra proporcional aos dias de obra (início em PREMISSAS!C6). A medição do 1º mês é parcial.</t>
  </si>
  <si>
    <t xml:space="preserve">• O pior ponto do caixa e o CAPITAL RECOMENDADO recalculam sozinhos quando você muda a defasagem, o cenário ou os custos nas PREMISSAS.</t>
  </si>
  <si>
    <t xml:space="preserve">• ECONÔMICO × FINANCEIRO: o consórcio banca folha, engenheiro e estrutura e DESCONTA da medição; a WCR paga só os indiretos e recebe o saldo. O ECONÔMICO mostra a margem real; o FINANCEIRO mostra o caixa da WCR. No 1º mês o desconto pode superar a medição parcial (líquido negativo = saldo devido ao consórcio, compensa em seguida).</t>
  </si>
  <si>
    <t xml:space="preserve">• Base do imposto (PREMISSAS C48): assumi 22% sobre a MEDIÇÃO CHEIA (conservador). Se a nota da WCR for só do valor líquido do desconto, troque para LÍQUIDA DO DESCONTO — entra bem mais caixa. Confirme com o contador.</t>
  </si>
  <si>
    <t xml:space="preserve">FLUXO DE CAIXA PROJETADO — BERTIOGA + SANTOS · PREMISSAS</t>
  </si>
  <si>
    <t xml:space="preserve">AZUL = valor editável · PRETO = fórmula · VERDE = puxa de outra aba · FUNDO AMARELO = premissa crítica</t>
  </si>
  <si>
    <t xml:space="preserve">1. CALENDÁRIO E CONTRATO</t>
  </si>
  <si>
    <t xml:space="preserve">Início da obra / Semana 1 do fluxo</t>
  </si>
  <si>
    <t xml:space="preserve">data</t>
  </si>
  <si>
    <t xml:space="preserve">Segunda-feira. Primeira coluna do FCP SEMANAL.</t>
  </si>
  <si>
    <t xml:space="preserve">Fim da operação projetada</t>
  </si>
  <si>
    <t xml:space="preserve">Último dia de obra no FCP MENSAL (~12 meses de operação). Edite para esticar ou encurtar.</t>
  </si>
  <si>
    <t xml:space="preserve">Dias por mês (convenção de rateio)</t>
  </si>
  <si>
    <t xml:space="preserve">dias</t>
  </si>
  <si>
    <t xml:space="preserve">Mesma convenção da sua planilha: diário = mensal ÷ 30 · semana = 7 dias corridos.</t>
  </si>
  <si>
    <t xml:space="preserve">Defasagem de recebimento</t>
  </si>
  <si>
    <t xml:space="preserve">A medição fecha no último dia do mês e é paga N dias depois (ex.: com N=20, agosto fecha 31/08 e paga 20/09).</t>
  </si>
  <si>
    <t xml:space="preserve">Imposto da nota</t>
  </si>
  <si>
    <t xml:space="preserve">%</t>
  </si>
  <si>
    <t xml:space="preserve">Retenções + tributos sobre a medição bruta, pagos na data do recebimento — premissa da sua aba Custos.</t>
  </si>
  <si>
    <t xml:space="preserve">2. CENÁRIO DE PRODUÇÃO</t>
  </si>
  <si>
    <t xml:space="preserve">Cenário adotado no fluxo</t>
  </si>
  <si>
    <t xml:space="preserve">ÓTIMA</t>
  </si>
  <si>
    <t xml:space="preserve">—</t>
  </si>
  <si>
    <t xml:space="preserve">Escolha: MÍNIMA, MÉDIA, BOA ou ÓTIMA. Todo o fluxo recalcula. MÍNIMA = empate real (cobre custo + imposto).</t>
  </si>
  <si>
    <t xml:space="preserve">MÍNIMA</t>
  </si>
  <si>
    <t xml:space="preserve">Margem do cenário MÍNIMA</t>
  </si>
  <si>
    <t xml:space="preserve">Empate: receita líquida = custo. Não sobra nada (nem recupera a mobilização).</t>
  </si>
  <si>
    <t xml:space="preserve">MÉDIA</t>
  </si>
  <si>
    <t xml:space="preserve">Margem do cenário MÉDIA</t>
  </si>
  <si>
    <t xml:space="preserve">Custo + 10% de margem.</t>
  </si>
  <si>
    <t xml:space="preserve">BOA</t>
  </si>
  <si>
    <t xml:space="preserve">Margem do cenário BOA</t>
  </si>
  <si>
    <t xml:space="preserve">Custo + 15% de margem.</t>
  </si>
  <si>
    <t xml:space="preserve">Margem do cenário ÓTIMA</t>
  </si>
  <si>
    <t xml:space="preserve">Custo + 20% de margem.</t>
  </si>
  <si>
    <t xml:space="preserve">Margem do cenário adotado</t>
  </si>
  <si>
    <t xml:space="preserve">Fórmula — não editar.</t>
  </si>
  <si>
    <t xml:space="preserve">3. PREÇOS MÉDIOS POR SERVIÇO (ticket)</t>
  </si>
  <si>
    <t xml:space="preserve">Bertioga — ticket médio por serviço</t>
  </si>
  <si>
    <t xml:space="preserve">R$/un</t>
  </si>
  <si>
    <t xml:space="preserve">Média adotada por você no Fluxo Trimestral (aba Custos). Tabela do contrato: aba PREÇOS BERTIOGA.</t>
  </si>
  <si>
    <t xml:space="preserve">Santos — ticket água</t>
  </si>
  <si>
    <t xml:space="preserve">Idem. Tabela do contrato: aba PREÇOS SANTOS (coluna K50).</t>
  </si>
  <si>
    <t xml:space="preserve">Santos — ticket esgoto</t>
  </si>
  <si>
    <t xml:space="preserve">Idem.</t>
  </si>
  <si>
    <t xml:space="preserve">Santos — % dos serviços que são esgoto</t>
  </si>
  <si>
    <t xml:space="preserve">Mix da carteira. Muda o ticket ponderado e a produção necessária em unidades.</t>
  </si>
  <si>
    <t xml:space="preserve">Santos — ticket médio ponderado</t>
  </si>
  <si>
    <t xml:space="preserve">4. CUSTOS MENSAIS (vêm das abas de custos)</t>
  </si>
  <si>
    <t xml:space="preserve">Bertioga — custo mensal total</t>
  </si>
  <si>
    <t xml:space="preserve">R$/mês</t>
  </si>
  <si>
    <t xml:space="preserve">Equipe + estrutura + engenheiro + indiretos. Detalhe na aba CUSTOS BERTIOGA.</t>
  </si>
  <si>
    <t xml:space="preserve">Santos — custo mensal total</t>
  </si>
  <si>
    <t xml:space="preserve">Detalhe na aba CUSTOS SANTOS.</t>
  </si>
  <si>
    <t xml:space="preserve">GLOBAL — custo mensal total</t>
  </si>
  <si>
    <t xml:space="preserve">5. MOBILIZAÇÃO — desembolsos iniciais (coluna “Anterior”)</t>
  </si>
  <si>
    <t xml:space="preserve">Bertioga — custos iniciais (Adiantamento)</t>
  </si>
  <si>
    <t xml:space="preserve">R$</t>
  </si>
  <si>
    <t xml:space="preserve">50% da mobilização total (carros eng.+empreiteiro 6.800 · alojamento 13.500 · casa 3.000 · alimentação ago+set 3.420 = 26.720), dividida meio a meio entre as cidades — como no FCP SEMANAL.</t>
  </si>
  <si>
    <t xml:space="preserve">Santos — custos iniciais</t>
  </si>
  <si>
    <t xml:space="preserve">50% da mobilização total, como no FCP SEMANAL.</t>
  </si>
  <si>
    <t xml:space="preserve">Total mobilização</t>
  </si>
  <si>
    <t xml:space="preserve">6. CAPITAL E RISCO</t>
  </si>
  <si>
    <t xml:space="preserve">Contingência sobre a necessidade máxima de caixa</t>
  </si>
  <si>
    <t xml:space="preserve">Atraso de medição, chuva, quebra, retrabalho. 15% é o mínimo prudente (modelo Custo_Equipe).</t>
  </si>
  <si>
    <t xml:space="preserve">Fator de custos do 1º mês (fração do custo mensal)</t>
  </si>
  <si>
    <t xml:space="preserve">Espelha o 0,5 do FCP SEMANAL para agosto (obra começa dia 24). Usado no FCP MENSAL e na sensibilidade.</t>
  </si>
  <si>
    <t xml:space="preserve">7. QUEM PAGA O QUÊ — regime com o consórcio</t>
  </si>
  <si>
    <t xml:space="preserve">Folha das equipes — quem paga</t>
  </si>
  <si>
    <t xml:space="preserve">CONSÓRCIO</t>
  </si>
  <si>
    <t xml:space="preserve">Salários + encargos + benefícios das equipes.</t>
  </si>
  <si>
    <t xml:space="preserve">Engenheiro — quem paga</t>
  </si>
  <si>
    <t xml:space="preserve">R$ 13.000/mês por cidade.</t>
  </si>
  <si>
    <t xml:space="preserve">Estrutura e locações — quem paga</t>
  </si>
  <si>
    <t xml:space="preserve">Carros, caminhões, HR, alojamento, equipamentos, kit ferramenta.</t>
  </si>
  <si>
    <t xml:space="preserve">Custos indiretos — quem paga</t>
  </si>
  <si>
    <t xml:space="preserve">WCR</t>
  </si>
  <si>
    <t xml:space="preserve">R$ 20.000/mês por cidade — sai do caixa da WCR.</t>
  </si>
  <si>
    <t xml:space="preserve">Mobilização — quem paga</t>
  </si>
  <si>
    <t xml:space="preserve">Adiantamento Bertioga (R$ 26.720) foi bancado pelo consórcio.</t>
  </si>
  <si>
    <t xml:space="preserve">O consórcio desconta da medição o que ele paga?</t>
  </si>
  <si>
    <t xml:space="preserve">SIM</t>
  </si>
  <si>
    <t xml:space="preserve">SIM = o que ele banca é abatido do valor que a WCR recebe.</t>
  </si>
  <si>
    <t xml:space="preserve">Base do imposto da nota</t>
  </si>
  <si>
    <t xml:space="preserve">MEDIÇÃO CHEIA</t>
  </si>
  <si>
    <t xml:space="preserve">MEDIÇÃO CHEIA = 22% sobre a medição toda (conservador). LÍQUIDA DO DESCONTO = 22% só sobre o que a WCR efetivamente fatura. Confirme com o contador.</t>
  </si>
  <si>
    <t xml:space="preserve">8. CUSTOS PELO REGIME (fórmulas — não editar)</t>
  </si>
  <si>
    <t xml:space="preserve">Bertioga — custos bancados pelo consórcio</t>
  </si>
  <si>
    <t xml:space="preserve">Santos — custos bancados pelo consórcio</t>
  </si>
  <si>
    <t xml:space="preserve">GLOBAL — custos bancados pelo consórcio</t>
  </si>
  <si>
    <t xml:space="preserve">Bertioga — custos pagos pela WCR (caixa)</t>
  </si>
  <si>
    <t xml:space="preserve">Santos — custos pagos pela WCR (caixa)</t>
  </si>
  <si>
    <t xml:space="preserve">GLOBAL — custos pagos pela WCR (caixa)</t>
  </si>
  <si>
    <t xml:space="preserve">Mobilização paga pela WCR (caixa)</t>
  </si>
  <si>
    <t xml:space="preserve">Mobilização descontada pelo consórcio</t>
  </si>
  <si>
    <t xml:space="preserve">Se o consórcio bancou e desconta, o valor é abatido no 1º recebimento.</t>
  </si>
  <si>
    <t xml:space="preserve">Desconto mensal efetivo — Bertioga</t>
  </si>
  <si>
    <t xml:space="preserve">Desconto mensal efetivo — Santos</t>
  </si>
  <si>
    <t xml:space="preserve">Desconto mensal efetivo — GLOBAL</t>
  </si>
  <si>
    <t xml:space="preserve">FCP SEMANAL — FINANCEIRO (CAIXA DA WCR)</t>
  </si>
  <si>
    <t xml:space="preserve">Só o que passa pela conta da WCR. Recebimento bruto nas semanas que você definiu (S1→S3, S2–S6→S7, S7–S11→S12); na mesma semana entra o DESCONTO do consórcio (folha, engenheiro, estrutura que ele banca) e o imposto. A WCR paga do bolso só os custos indiretos (dia 20 do mês seguinte). Visão de margem: aba ECONÔMICO.</t>
  </si>
  <si>
    <t xml:space="preserve">Cenário:</t>
  </si>
  <si>
    <t xml:space="preserve">Anterior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</si>
  <si>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</si>
  <si>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</si>
  <si>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</si>
  <si>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</si>
  <si>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</si>
  <si>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</si>
  <si>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</si>
  <si>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</si>
  <si>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</si>
  <si>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</si>
  <si>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</si>
  <si>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</si>
  <si>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TOTAL</t>
  </si>
  <si>
    <t xml:space="preserve">início</t>
  </si>
  <si>
    <t xml:space="preserve">a</t>
  </si>
  <si>
    <t xml:space="preserve">fim</t>
  </si>
  <si>
    <t xml:space="preserve">BERTIOGA</t>
  </si>
  <si>
    <t xml:space="preserve">Produção prevista (un)</t>
  </si>
  <si>
    <t xml:space="preserve">Medição do período (REALIZADA se lançada; senão prevista)</t>
  </si>
  <si>
    <t xml:space="preserve">(A) RECEBIMENTO BRUTO</t>
  </si>
  <si>
    <t xml:space="preserve">(–) Imposto da nota</t>
  </si>
  <si>
    <t xml:space="preserve">(–) Desconto do consórcio (custos que ele banca)</t>
  </si>
  <si>
    <t xml:space="preserve">(–) Custos pagos pela WCR (indiretos)</t>
  </si>
  <si>
    <t xml:space="preserve">(–) Outros desembolsos da WCR (edite se houver)</t>
  </si>
  <si>
    <t xml:space="preserve">(–) Mobilização paga pela WCR</t>
  </si>
  <si>
    <t xml:space="preserve">(B) TOTAL DE DESPESAS</t>
  </si>
  <si>
    <t xml:space="preserve">SALDO DO PERÍODO (A–B)</t>
  </si>
  <si>
    <t xml:space="preserve">SALDO ACUMULADO</t>
  </si>
  <si>
    <t xml:space="preserve">SANTOS</t>
  </si>
  <si>
    <t xml:space="preserve">GLOBAL — BERTIOGA + SANTOS</t>
  </si>
  <si>
    <t xml:space="preserve">PIOR PONTO DO TRIMESTRE (menor saldo acumulado)</t>
  </si>
  <si>
    <t xml:space="preserve">É o caixa que a obra consome no trimestre antes de o dinheiro do cliente entrar. Capital de giro: ver FCP MENSAL.</t>
  </si>
  <si>
    <t xml:space="preserve">PLANEJADO × REALIZADO — lance aqui a PRODUÇÃO REALIZADA de cada semana (células verdes)</t>
  </si>
  <si>
    <t xml:space="preserve">BERTIOGA — produção REALIZADA (un)</t>
  </si>
  <si>
    <t xml:space="preserve">BERTIOGA — % do planejado</t>
  </si>
  <si>
    <t xml:space="preserve">SANTOS — produção REALIZADA (un)</t>
  </si>
  <si>
    <t xml:space="preserve">SANTOS — % do planejado</t>
  </si>
  <si>
    <t xml:space="preserve">GLOBAL — % do planejado (em R$)</t>
  </si>
  <si>
    <t xml:space="preserve">Semana sem lançamento usa o PLANEJADO. Ao preencher, a medição (linhas 12/25), o recebimento, o FCP MENSAL e o ECONÔMICO atualizam sozinhos — agosto, setembro e outubro puxam daqui (S1 · S2–S6 · S7–S11); novembro em diante é projeção.</t>
  </si>
  <si>
    <t xml:space="preserve">FCP MENSAL — FINANCEIRO (CAIXA DA WCR)</t>
  </si>
  <si>
    <t xml:space="preserve">Recebimento = medição do mês anterior (defasagem PREMISSAS!C9), menos o desconto do consórcio e o imposto. Desembolso = só o que a WCR paga (indiretos), no mês seguinte à competência. Margem real do contrato: aba ECONÔMICO.</t>
  </si>
  <si>
    <t xml:space="preserve">Mês</t>
  </si>
  <si>
    <t xml:space="preserve">Dias de obra no mês</t>
  </si>
  <si>
    <t xml:space="preserve">Medição do mês (ago–out: FCP SEMANAL · depois: projeção)</t>
  </si>
  <si>
    <t xml:space="preserve">Recebimento bruto (medição do mês anterior)</t>
  </si>
  <si>
    <t xml:space="preserve">(–) Desconto do consórcio (custos bancados)</t>
  </si>
  <si>
    <t xml:space="preserve">ENTRA NO CAIXA DA WCR</t>
  </si>
  <si>
    <t xml:space="preserve">(–) Sai do caixa da WCR (indiretos do mês ant.)</t>
  </si>
  <si>
    <t xml:space="preserve">Saldo do mês</t>
  </si>
  <si>
    <t xml:space="preserve">CAIXA ACUMULADO — antes do recebimento</t>
  </si>
  <si>
    <t xml:space="preserve">CAIXA ACUMULADO — após o recebimento</t>
  </si>
  <si>
    <t xml:space="preserve">Medição bruta (ago–out: FCP SEMANAL · depois: projeção)</t>
  </si>
  <si>
    <t xml:space="preserve">Recebimento bruto</t>
  </si>
  <si>
    <t xml:space="preserve">(–) Desconto do consórcio</t>
  </si>
  <si>
    <t xml:space="preserve">(–) Sai do caixa da WCR</t>
  </si>
  <si>
    <t xml:space="preserve">CAPITAL NECESSÁRIO E RESULTADO DE CAIXA — cenário adotado</t>
  </si>
  <si>
    <t xml:space="preserve">Necessidade máxima de caixa da WCR (pior ponto)</t>
  </si>
  <si>
    <t xml:space="preserve">Com o consórcio bancando folha, engenheiro e estrutura, a WCR só financia os indiretos e o descasamento do 1º mês. No começo o desconto pode ser maior que a medição parcial (agosto): o líquido fica negativo — é saldo devido ao consórcio, compensa no mês seguinte.</t>
  </si>
  <si>
    <t xml:space="preserve">Contingência (premissa)</t>
  </si>
  <si>
    <t xml:space="preserve">CAPITAL RECOMENDADO — WCR</t>
  </si>
  <si>
    <t xml:space="preserve">Resultado de caixa no fim do horizonte</t>
  </si>
  <si>
    <t xml:space="preserve">Confere com o resultado ECONÔMICO acumulado</t>
  </si>
  <si>
    <t xml:space="preserve">Os dois fecham no mesmo número — a diferença entre econômico e financeiro é só o caminho (quem banca e quando).</t>
  </si>
  <si>
    <t xml:space="preserve">SENSIBILIDADE — caixa da WCR por cenário</t>
  </si>
  <si>
    <t xml:space="preserve">CENÁRIO</t>
  </si>
  <si>
    <t xml:space="preserve">MARGEM</t>
  </si>
  <si>
    <t xml:space="preserve">ENTRA/MÊS (cheio)</t>
  </si>
  <si>
    <t xml:space="preserve">NECESSIDADE MÁX.</t>
  </si>
  <si>
    <t xml:space="preserve">CAPITAL RECOM.</t>
  </si>
  <si>
    <t xml:space="preserve">RESULTADO FINAL</t>
  </si>
  <si>
    <t xml:space="preserve">Caixa da WCR: como quase todo o custo é bancado pelo consórcio e descontado, o capital necessário fica pequeno em todos os cenários. Na MÍNIMA o que entra empata com os indiretos e o resultado final fica negativo no descasamento do 1º mês.</t>
  </si>
  <si>
    <t xml:space="preserve">ECONÔMICO — RESULTADO DO CONTRATO (COMPETÊNCIA)</t>
  </si>
  <si>
    <t xml:space="preserve">A margem real da operação, mês a mês, com TODOS os custos — inclusive os que o consórcio banca. Estilo do DRE Se Liga na Rede. O caixa da WCR está no FCP MENSAL / FCP SEMANAL.</t>
  </si>
  <si>
    <t xml:space="preserve">(=) Medição líquida de imposto</t>
  </si>
  <si>
    <t xml:space="preserve">(–) Folha das equipes</t>
  </si>
  <si>
    <t xml:space="preserve">(–) Engenheiro</t>
  </si>
  <si>
    <t xml:space="preserve">(–) Estrutura e locações</t>
  </si>
  <si>
    <t xml:space="preserve">(–) Custos indiretos</t>
  </si>
  <si>
    <t xml:space="preserve">(–) Mobilização / custos iniciais</t>
  </si>
  <si>
    <t xml:space="preserve">(=) RESULTADO ECONÔMICO DO MÊS</t>
  </si>
  <si>
    <t xml:space="preserve">RESULTADO ACUMULADO</t>
  </si>
  <si>
    <t xml:space="preserve">Margem do mês (% da medição)</t>
  </si>
  <si>
    <t xml:space="preserve">RESUMO</t>
  </si>
  <si>
    <t xml:space="preserve">Resultado econômico do contrato no horizonte</t>
  </si>
  <si>
    <t xml:space="preserve">Margem sobre a medição</t>
  </si>
  <si>
    <t xml:space="preserve">O resultado econômico e o resultado de caixa do FCP MENSAL fecham no mesmo número no fim do horizonte. No dia a dia eles diferem: o consórcio financia folha/estrutura e desconta da medição; a WCR só gira os indiretos.</t>
  </si>
  <si>
    <t xml:space="preserve">VIABILIDADE — produção necessária por cenário</t>
  </si>
  <si>
    <t xml:space="preserve">MÍNIMA = empate real: cobre custo + imposto da nota. Sua planilha anterior não descontava o imposto — a linha cinza mostra aquela referência.</t>
  </si>
  <si>
    <t xml:space="preserve">Custo mensal:</t>
  </si>
  <si>
    <t xml:space="preserve">Ticket médio:</t>
  </si>
  <si>
    <t xml:space="preserve">RECEITA LÍQUIDA /MÊS</t>
  </si>
  <si>
    <t xml:space="preserve">MEDIÇÃO BRUTA /MÊS</t>
  </si>
  <si>
    <t xml:space="preserve">SERVIÇOS /MÊS</t>
  </si>
  <si>
    <t xml:space="preserve">SERVIÇOS /SEMANA</t>
  </si>
  <si>
    <t xml:space="preserve">SERVIÇOS /DIA</t>
  </si>
  <si>
    <t xml:space="preserve">Referência: mínima da sua planilha anterior (sem imposto)</t>
  </si>
  <si>
    <t xml:space="preserve">SANTOS (mix água/esgoto da premissa)</t>
  </si>
  <si>
    <t xml:space="preserve">ÁGUA /DIA</t>
  </si>
  <si>
    <t xml:space="preserve">ESGOTO /DIA</t>
  </si>
  <si>
    <t xml:space="preserve">Referência antiga (sem imposto) — se fosse SÓ ÁGUA</t>
  </si>
  <si>
    <t xml:space="preserve">Referência antiga (sem imposto) — se fosse SÓ ESGOTO</t>
  </si>
  <si>
    <t xml:space="preserve">GLOBAL — BERTIOGA + SANTOS (em R$)</t>
  </si>
  <si>
    <t xml:space="preserve">Produção em unidades não soma entre cidades (tickets diferentes) — acompanhe unidades por cidade, R$ no global.</t>
  </si>
  <si>
    <t xml:space="preserve">CUSTOS — BERTIOGA</t>
  </si>
  <si>
    <t xml:space="preserve">Fonte: Fluxo Trimestral Obra.xlsx · aba Custos (18/08/2026) — edite os valores em azul</t>
  </si>
  <si>
    <t xml:space="preserve">EQUIPE — QUADRO NOMINAL</t>
  </si>
  <si>
    <t xml:space="preserve">EQUIPE</t>
  </si>
  <si>
    <t xml:space="preserve">NOME</t>
  </si>
  <si>
    <t xml:space="preserve">CARGO</t>
  </si>
  <si>
    <t xml:space="preserve">SALÁRIO</t>
  </si>
  <si>
    <t xml:space="preserve">ENCARGOS</t>
  </si>
  <si>
    <t xml:space="preserve">BENEFÍCIOS</t>
  </si>
  <si>
    <t xml:space="preserve">TOTAL / MÊS</t>
  </si>
  <si>
    <t xml:space="preserve">A</t>
  </si>
  <si>
    <t xml:space="preserve">Lenildo Lourenco da Silva</t>
  </si>
  <si>
    <t xml:space="preserve">Ajudante Geral</t>
  </si>
  <si>
    <t xml:space="preserve">Edivan dos Santos</t>
  </si>
  <si>
    <t xml:space="preserve">Encanador Motorizado</t>
  </si>
  <si>
    <t xml:space="preserve">Marcelo dos Santos Marciano</t>
  </si>
  <si>
    <t xml:space="preserve">B</t>
  </si>
  <si>
    <t xml:space="preserve">Junior Sabino</t>
  </si>
  <si>
    <t xml:space="preserve">Lider de Equipe</t>
  </si>
  <si>
    <t xml:space="preserve">Bruno Carvalho Dias</t>
  </si>
  <si>
    <t xml:space="preserve">Jerailson Lourenco Santos da S</t>
  </si>
  <si>
    <t xml:space="preserve">Encanador</t>
  </si>
  <si>
    <t xml:space="preserve">C</t>
  </si>
  <si>
    <t xml:space="preserve">Egmar de Almeida Pinto</t>
  </si>
  <si>
    <t xml:space="preserve">Oziel</t>
  </si>
  <si>
    <t xml:space="preserve">Rafael Nunes de Godoy</t>
  </si>
  <si>
    <t xml:space="preserve">Rafael Santos Cruz</t>
  </si>
  <si>
    <t xml:space="preserve">Operador de Retroescavadeira</t>
  </si>
  <si>
    <t xml:space="preserve">D</t>
  </si>
  <si>
    <t xml:space="preserve">Jose Henrique</t>
  </si>
  <si>
    <t xml:space="preserve">Arnaldo de Araujo Bastos</t>
  </si>
  <si>
    <t xml:space="preserve">Kaique Tavares da Silva</t>
  </si>
  <si>
    <t xml:space="preserve">Programador</t>
  </si>
  <si>
    <t xml:space="preserve">Sergio Rodrigues da Silva</t>
  </si>
  <si>
    <t xml:space="preserve">Encarregado de Obras</t>
  </si>
  <si>
    <t xml:space="preserve">15 pessoas</t>
  </si>
  <si>
    <t xml:space="preserve">CUSTOS GERAIS DA OBRA (R$/MÊS)</t>
  </si>
  <si>
    <t xml:space="preserve">ITEM</t>
  </si>
  <si>
    <t xml:space="preserve">QNT</t>
  </si>
  <si>
    <t xml:space="preserve">VALOR UNIT.</t>
  </si>
  <si>
    <t xml:space="preserve">TOTAL MÊS</t>
  </si>
  <si>
    <t xml:space="preserve">Salário engenheiro</t>
  </si>
  <si>
    <t xml:space="preserve">Kit ferramenta equipes</t>
  </si>
  <si>
    <t xml:space="preserve">mantido como custo mensal, igual à sua planilha</t>
  </si>
  <si>
    <t xml:space="preserve">Carro engenheiro</t>
  </si>
  <si>
    <t xml:space="preserve">Carro encarregado</t>
  </si>
  <si>
    <t xml:space="preserve">Caminhão 3/4 + munck</t>
  </si>
  <si>
    <t xml:space="preserve">HR CAMINHÃO TIPO HR</t>
  </si>
  <si>
    <t xml:space="preserve">Alojamento</t>
  </si>
  <si>
    <t xml:space="preserve">Equipamentos leves</t>
  </si>
  <si>
    <t xml:space="preserve">Custos indiretos</t>
  </si>
  <si>
    <t xml:space="preserve">Equipe (folha + encargos + benefícios)</t>
  </si>
  <si>
    <t xml:space="preserve">TOTAL MENSAL — BERTIOGA</t>
  </si>
  <si>
    <t xml:space="preserve">TOTAL SEMANAL (7 dias)</t>
  </si>
  <si>
    <t xml:space="preserve">TOTAL QUINZENAL (15 dias)</t>
  </si>
  <si>
    <t xml:space="preserve">TOTAL DIÁRIO</t>
  </si>
  <si>
    <t xml:space="preserve">CUSTOS — SANTOS</t>
  </si>
  <si>
    <t xml:space="preserve">Ricardo Dantas da Silva Junior</t>
  </si>
  <si>
    <t xml:space="preserve">Jean Estevam de Oliveira</t>
  </si>
  <si>
    <t xml:space="preserve">Renato Santos Araujo</t>
  </si>
  <si>
    <t xml:space="preserve">Pedreiro</t>
  </si>
  <si>
    <t xml:space="preserve">Paulo Alberto da Silva de Paula</t>
  </si>
  <si>
    <t xml:space="preserve">Kaua dos Santos Nunes Rodrigues</t>
  </si>
  <si>
    <t xml:space="preserve">Marcelo da Silva Nogueira</t>
  </si>
  <si>
    <t xml:space="preserve">Jeferson Silva de Paiva</t>
  </si>
  <si>
    <t xml:space="preserve">Danilo Fernando Salgado</t>
  </si>
  <si>
    <t xml:space="preserve">Pedreiro Motorizado</t>
  </si>
  <si>
    <t xml:space="preserve">Rian Teixeira da Silva</t>
  </si>
  <si>
    <t xml:space="preserve">Rogério Soares da Silva</t>
  </si>
  <si>
    <t xml:space="preserve">Hernandes Araújo de Oliveira</t>
  </si>
  <si>
    <t xml:space="preserve">Alex</t>
  </si>
  <si>
    <t xml:space="preserve">João Pedro Norberto da Silva</t>
  </si>
  <si>
    <t xml:space="preserve">Lucas de Souza César</t>
  </si>
  <si>
    <t xml:space="preserve">Yasmin</t>
  </si>
  <si>
    <t xml:space="preserve">Programadora</t>
  </si>
  <si>
    <t xml:space="preserve">Sidnei Jose dos Santos</t>
  </si>
  <si>
    <t xml:space="preserve">16 pessoas</t>
  </si>
  <si>
    <t xml:space="preserve">HR (horas de máquina)</t>
  </si>
  <si>
    <t xml:space="preserve">TOTAL MENSAL — SANTOS</t>
  </si>
  <si>
    <t xml:space="preserve">AUX — medições, datas de pagamento e cenários (cálculo; não precisa editar)</t>
  </si>
  <si>
    <t xml:space="preserve">Mês (1º dia)</t>
  </si>
  <si>
    <t xml:space="preserve">Medição bruta BERTIOGA (ago–out: FCP SEMANAL · depois: projeção)</t>
  </si>
  <si>
    <t xml:space="preserve">Medição bruta SANTOS (ago–out: FCP SEMANAL · depois: projeção)</t>
  </si>
  <si>
    <t xml:space="preserve">Medição bruta GLOBAL</t>
  </si>
  <si>
    <t xml:space="preserve">Data de pagamento da medição</t>
  </si>
  <si>
    <t xml:space="preserve">Dias equivalentes p/ custo (1º mês = fator × 30)</t>
  </si>
  <si>
    <t xml:space="preserve">GRADE DE CENÁRIOS — CAIXA DA WCR (capital e resultado por cenário)</t>
  </si>
  <si>
    <t xml:space="preserve">MÍNIMA — medição bruta global</t>
  </si>
  <si>
    <t xml:space="preserve">entra no caixa WCR (receb − desconto − imposto)</t>
  </si>
  <si>
    <t xml:space="preserve">sai do caixa WCR (indiretos mês ant. + mob WCR)</t>
  </si>
  <si>
    <t xml:space="preserve">caixa acumulado ANTES do recebimento</t>
  </si>
  <si>
    <t xml:space="preserve">caixa acumulado APÓS o recebimento</t>
  </si>
  <si>
    <t xml:space="preserve">MÉDIA — medição bruta global</t>
  </si>
  <si>
    <t xml:space="preserve">BOA — medição bruta global</t>
  </si>
  <si>
    <t xml:space="preserve">ÓTIMA — medição bruta global</t>
  </si>
  <si>
    <t xml:space="preserve">PREÇOS DO CONTRATO — BERTIOGA / GUARUJÁ (GLOBAL GJ BT)</t>
  </si>
  <si>
    <t xml:space="preserve">Fonte: Valores Unitários Trocas e Ligações Global GJ BT.xlsx (enviado 25/08/2026).</t>
  </si>
  <si>
    <t xml:space="preserve">DESCRIÇÃO</t>
  </si>
  <si>
    <t xml:space="preserve">N. PREÇO</t>
  </si>
  <si>
    <t xml:space="preserve">UN</t>
  </si>
  <si>
    <t xml:space="preserve">R$ UNIT.</t>
  </si>
  <si>
    <t xml:space="preserve">EXECUÇÃO DE LIGAÇÃO DE ÁGUA SUCESSIVA -</t>
  </si>
  <si>
    <t xml:space="preserve">LAG   PA SUCES S/REP SF</t>
  </si>
  <si>
    <t xml:space="preserve">72000033</t>
  </si>
  <si>
    <t xml:space="preserve">un</t>
  </si>
  <si>
    <t xml:space="preserve">LAG   TA SUCES S/REP SF</t>
  </si>
  <si>
    <t xml:space="preserve">72000034</t>
  </si>
  <si>
    <t xml:space="preserve">LAG   EX SUCES S/REP SF</t>
  </si>
  <si>
    <t xml:space="preserve">72000035</t>
  </si>
  <si>
    <t xml:space="preserve">LAG   TO SUCES S/REP SF</t>
  </si>
  <si>
    <t xml:space="preserve">72000036</t>
  </si>
  <si>
    <t xml:space="preserve">LAG   PO SUCES S/REP SF</t>
  </si>
  <si>
    <t xml:space="preserve">72000037</t>
  </si>
  <si>
    <t xml:space="preserve">ADC  INST CV    SF</t>
  </si>
  <si>
    <t xml:space="preserve">72000229</t>
  </si>
  <si>
    <t xml:space="preserve">LAG   PA SUCES S/REP</t>
  </si>
  <si>
    <t xml:space="preserve">72000057</t>
  </si>
  <si>
    <t xml:space="preserve">LAG   TA SUCES S/REP</t>
  </si>
  <si>
    <t xml:space="preserve">72000058</t>
  </si>
  <si>
    <t xml:space="preserve">LAG   EX SUCES S/REP</t>
  </si>
  <si>
    <t xml:space="preserve">72000059</t>
  </si>
  <si>
    <t xml:space="preserve">LAG   TO SUCES S/REP</t>
  </si>
  <si>
    <t xml:space="preserve">72000060</t>
  </si>
  <si>
    <t xml:space="preserve">LAG   PO SUCES S/REP</t>
  </si>
  <si>
    <t xml:space="preserve">72000061</t>
  </si>
  <si>
    <t xml:space="preserve">ADC  INST CV</t>
  </si>
  <si>
    <t xml:space="preserve">72000224</t>
  </si>
  <si>
    <t xml:space="preserve">LRP CIM   LAG SUCES</t>
  </si>
  <si>
    <t xml:space="preserve">72000101</t>
  </si>
  <si>
    <t xml:space="preserve">LRP ESP   LAG SUCES</t>
  </si>
  <si>
    <t xml:space="preserve">72000102</t>
  </si>
  <si>
    <t xml:space="preserve">LPB  TA LAG SUCES COMPX C</t>
  </si>
  <si>
    <t xml:space="preserve">72001180</t>
  </si>
  <si>
    <t xml:space="preserve">LPB EX LAG SUCES COMPX C</t>
  </si>
  <si>
    <t xml:space="preserve">72001082</t>
  </si>
  <si>
    <t xml:space="preserve">LPB  TO LAG SUCES COMPX C</t>
  </si>
  <si>
    <t xml:space="preserve">72001210</t>
  </si>
  <si>
    <t xml:space="preserve">LAG   MND SUCES S/REP SF</t>
  </si>
  <si>
    <t xml:space="preserve">72000049</t>
  </si>
  <si>
    <t xml:space="preserve">LAG   MND SUCES S/REP</t>
  </si>
  <si>
    <t xml:space="preserve">72000073</t>
  </si>
  <si>
    <t xml:space="preserve">LRP CIM  MND LAG SUCES</t>
  </si>
  <si>
    <t xml:space="preserve">72000169</t>
  </si>
  <si>
    <t xml:space="preserve">LRP ESP  MND LAG SUCES</t>
  </si>
  <si>
    <t xml:space="preserve">72000170</t>
  </si>
  <si>
    <t xml:space="preserve">LPB  MND LAG SUCES COMPX C</t>
  </si>
  <si>
    <t xml:space="preserve">72001105</t>
  </si>
  <si>
    <t xml:space="preserve">EXECUÇÃO DE LIGAÇÃO DE ÁGUA AVULSA</t>
  </si>
  <si>
    <t xml:space="preserve">LAG  ATE 32MM PA AVUL S/REP SF</t>
  </si>
  <si>
    <t xml:space="preserve">72000052</t>
  </si>
  <si>
    <t xml:space="preserve">LAG  ATE 32MM TA AVUL S/REP SF</t>
  </si>
  <si>
    <t xml:space="preserve">72000053</t>
  </si>
  <si>
    <t xml:space="preserve">LAG  ATE 32MM EX AVUL S/REP SF</t>
  </si>
  <si>
    <t xml:space="preserve">72000054</t>
  </si>
  <si>
    <t xml:space="preserve">LAG  ATE 32MM TO AVUL S/REP SF</t>
  </si>
  <si>
    <t xml:space="preserve">72000055</t>
  </si>
  <si>
    <t xml:space="preserve">LAG  ATE 32MM PO AVUL S/REP SF</t>
  </si>
  <si>
    <t xml:space="preserve">72000056</t>
  </si>
  <si>
    <t xml:space="preserve">LAG  ATE 32MM PA AVUL S/REP</t>
  </si>
  <si>
    <t xml:space="preserve">72000028</t>
  </si>
  <si>
    <t xml:space="preserve">LAG  ATE 32MM TA AVUL S/REP</t>
  </si>
  <si>
    <t xml:space="preserve">72000029</t>
  </si>
  <si>
    <t xml:space="preserve">LAG  ATE 32MM EX AVUL S/REP</t>
  </si>
  <si>
    <t xml:space="preserve">72000030</t>
  </si>
  <si>
    <t xml:space="preserve">LAG  ATE 32MM TO AVUL S/REP</t>
  </si>
  <si>
    <t xml:space="preserve">72000031</t>
  </si>
  <si>
    <t xml:space="preserve">LAG  ATE 32MM PO AVUL S/REP</t>
  </si>
  <si>
    <t xml:space="preserve">72000032</t>
  </si>
  <si>
    <t xml:space="preserve">LAG  DN50 HD30    SF</t>
  </si>
  <si>
    <t xml:space="preserve">72000076</t>
  </si>
  <si>
    <t xml:space="preserve">LAG  DN50 HD300    SF</t>
  </si>
  <si>
    <t xml:space="preserve">72000077</t>
  </si>
  <si>
    <t xml:space="preserve">LAG  DN80 HD1100    SF</t>
  </si>
  <si>
    <t xml:space="preserve">72000078</t>
  </si>
  <si>
    <t xml:space="preserve">LAG  DN100 HD1800    SF</t>
  </si>
  <si>
    <t xml:space="preserve">72000079</t>
  </si>
  <si>
    <t xml:space="preserve">RAMAL  DN 50 A 100   S/REP SF</t>
  </si>
  <si>
    <t xml:space="preserve">72000080</t>
  </si>
  <si>
    <t xml:space="preserve">M</t>
  </si>
  <si>
    <t xml:space="preserve">LRP CIM   LAG AVUL</t>
  </si>
  <si>
    <t xml:space="preserve">72000081</t>
  </si>
  <si>
    <t xml:space="preserve">LRP ESP   LAG AVUL</t>
  </si>
  <si>
    <t xml:space="preserve">72000082</t>
  </si>
  <si>
    <t xml:space="preserve">LPB TA LAG AVUL COMPX C</t>
  </si>
  <si>
    <t xml:space="preserve">72001159</t>
  </si>
  <si>
    <t xml:space="preserve">LPB  EX LAG AVUL COMPX C</t>
  </si>
  <si>
    <t xml:space="preserve">72001071</t>
  </si>
  <si>
    <t xml:space="preserve">LPB  TO LAG AVUL COMPX C</t>
  </si>
  <si>
    <t xml:space="preserve">72001198</t>
  </si>
  <si>
    <t xml:space="preserve">LAG  ATE 32MM MND AVUL S/REP SF</t>
  </si>
  <si>
    <t xml:space="preserve">72000048</t>
  </si>
  <si>
    <t xml:space="preserve">LAG  ATE 32MM MND AVUL S/REP</t>
  </si>
  <si>
    <t xml:space="preserve">72000072</t>
  </si>
  <si>
    <t xml:space="preserve">LRP CIM  MND LAG AVUL</t>
  </si>
  <si>
    <t xml:space="preserve">72000161</t>
  </si>
  <si>
    <t xml:space="preserve">LRP ESP  MND LAG AVUL</t>
  </si>
  <si>
    <t xml:space="preserve">72000162</t>
  </si>
  <si>
    <t xml:space="preserve">LPB  MND LAG AVUL COMPX C</t>
  </si>
  <si>
    <t xml:space="preserve">72001102</t>
  </si>
  <si>
    <t xml:space="preserve">TRANSF  CV SIMPLES P/ MULT. 2HD    SF</t>
  </si>
  <si>
    <t xml:space="preserve">72000228</t>
  </si>
  <si>
    <t xml:space="preserve">TRANSF  CV SIMPLES P/ MULT. 2HD</t>
  </si>
  <si>
    <t xml:space="preserve">72000209</t>
  </si>
  <si>
    <t xml:space="preserve">INCL  LIG EM CV MULT</t>
  </si>
  <si>
    <t xml:space="preserve">72000210</t>
  </si>
  <si>
    <t xml:space="preserve">ADC  INST HD CV MULT</t>
  </si>
  <si>
    <t xml:space="preserve">72000237</t>
  </si>
  <si>
    <t xml:space="preserve">ADC  INCL LIG  UMA MULT</t>
  </si>
  <si>
    <t xml:space="preserve">72000221</t>
  </si>
  <si>
    <t xml:space="preserve">INCL  LIG EM UMA MULT</t>
  </si>
  <si>
    <t xml:space="preserve">72000211</t>
  </si>
  <si>
    <t xml:space="preserve">ADC  INST CX UMA</t>
  </si>
  <si>
    <t xml:space="preserve">72000222</t>
  </si>
  <si>
    <t xml:space="preserve">INST CX UMA</t>
  </si>
  <si>
    <t xml:space="preserve">72000213</t>
  </si>
  <si>
    <t xml:space="preserve">INST CX UMA COM CONSTRUCAO DE MURETA</t>
  </si>
  <si>
    <t xml:space="preserve">72000212</t>
  </si>
  <si>
    <t xml:space="preserve">INSTAL CAIXA PARA UMAP</t>
  </si>
  <si>
    <t xml:space="preserve">72000216</t>
  </si>
  <si>
    <t xml:space="preserve">72000223</t>
  </si>
  <si>
    <t xml:space="preserve">EXECUÇÃO DE TROCA DE LIGAÇÃO DE ÁGUA</t>
  </si>
  <si>
    <t xml:space="preserve">TRA  ATE 32MM CORR PA S/REP SF</t>
  </si>
  <si>
    <t xml:space="preserve">72000043</t>
  </si>
  <si>
    <t xml:space="preserve">TRA  ATE 32MM CORR TA S/REP SF</t>
  </si>
  <si>
    <t xml:space="preserve">72000044</t>
  </si>
  <si>
    <t xml:space="preserve">TRA  ATE 32MM CORR EX S/REP SF</t>
  </si>
  <si>
    <t xml:space="preserve">72000045</t>
  </si>
  <si>
    <t xml:space="preserve">TRA  ATE 32MM CORR TO S/REP SF</t>
  </si>
  <si>
    <t xml:space="preserve">72000046</t>
  </si>
  <si>
    <t xml:space="preserve">TRA  ATE 32MM CORR PO S/REP SF</t>
  </si>
  <si>
    <t xml:space="preserve">72000047</t>
  </si>
  <si>
    <t xml:space="preserve">TRA  ATE 32MM CORR PA S/REP</t>
  </si>
  <si>
    <t xml:space="preserve">72000067</t>
  </si>
  <si>
    <t xml:space="preserve">TRA  ATE 32MM CORR TA S/REP</t>
  </si>
  <si>
    <t xml:space="preserve">72000068</t>
  </si>
  <si>
    <t xml:space="preserve">TRA  ATE 32MM CORR EX S/REP</t>
  </si>
  <si>
    <t xml:space="preserve">72000069</t>
  </si>
  <si>
    <t xml:space="preserve">TRA  ATE 32MM CORR TO S/REP</t>
  </si>
  <si>
    <t xml:space="preserve">72000070</t>
  </si>
  <si>
    <t xml:space="preserve">TRA  ATE 32MM CORR PO S/REP</t>
  </si>
  <si>
    <t xml:space="preserve">72000071</t>
  </si>
  <si>
    <t xml:space="preserve">LRP CIM   TRA CORR</t>
  </si>
  <si>
    <t xml:space="preserve">72000141</t>
  </si>
  <si>
    <t xml:space="preserve">LRP ESP   TRA CORR</t>
  </si>
  <si>
    <t xml:space="preserve">72000142</t>
  </si>
  <si>
    <t xml:space="preserve">LPB  TA TRA CORR COMPX C</t>
  </si>
  <si>
    <t xml:space="preserve">72001183</t>
  </si>
  <si>
    <t xml:space="preserve">LPB  EX TRA CORR COMPX C</t>
  </si>
  <si>
    <t xml:space="preserve">72001085</t>
  </si>
  <si>
    <t xml:space="preserve">LPB  TO TRA CORR COMPX C</t>
  </si>
  <si>
    <t xml:space="preserve">72001213</t>
  </si>
  <si>
    <t xml:space="preserve">TRA  ATE 32MM PREV PA S/REP SF</t>
  </si>
  <si>
    <t xml:space="preserve">72000038</t>
  </si>
  <si>
    <t xml:space="preserve">TRA ATE 32MM PREV TA S/REP SF</t>
  </si>
  <si>
    <t xml:space="preserve">72000039</t>
  </si>
  <si>
    <t xml:space="preserve">TRA  ATE 32MM PREV EX S/REP SF</t>
  </si>
  <si>
    <t xml:space="preserve">72000040</t>
  </si>
  <si>
    <t xml:space="preserve">TRA ATE 32MM PREV TO S/REP SF</t>
  </si>
  <si>
    <t xml:space="preserve">72000041</t>
  </si>
  <si>
    <t xml:space="preserve">TRA  ATE 32MM PREV PO S/REP SF</t>
  </si>
  <si>
    <t xml:space="preserve">72000042</t>
  </si>
  <si>
    <t xml:space="preserve">TRA  ATE 32MM PREV PA S/REP</t>
  </si>
  <si>
    <t xml:space="preserve">72000062</t>
  </si>
  <si>
    <t xml:space="preserve">TRA  ATE 32MM PREV TA S/REP</t>
  </si>
  <si>
    <t xml:space="preserve">72000063</t>
  </si>
  <si>
    <t xml:space="preserve">TRA  ATE 32MM PREV EX S/REP</t>
  </si>
  <si>
    <t xml:space="preserve">72000064</t>
  </si>
  <si>
    <t xml:space="preserve">TRA  ATE 32MM PREV TO S/REP</t>
  </si>
  <si>
    <t xml:space="preserve">72000065</t>
  </si>
  <si>
    <t xml:space="preserve">TRA  ATE 32MM PREV PO S/REP</t>
  </si>
  <si>
    <t xml:space="preserve">72000066</t>
  </si>
  <si>
    <t xml:space="preserve">LRP CIM   TRA PREV</t>
  </si>
  <si>
    <t xml:space="preserve">72000121</t>
  </si>
  <si>
    <t xml:space="preserve">LRP ESP   TRA PREV</t>
  </si>
  <si>
    <t xml:space="preserve">72000122</t>
  </si>
  <si>
    <t xml:space="preserve">LPB  TA TRA PREV COMPX C</t>
  </si>
  <si>
    <t xml:space="preserve">72001195</t>
  </si>
  <si>
    <t xml:space="preserve">LPB  EX TRA PREV COMPX C</t>
  </si>
  <si>
    <t xml:space="preserve">72001097</t>
  </si>
  <si>
    <t xml:space="preserve">LPB  TO TRA PREV COMPX C</t>
  </si>
  <si>
    <t xml:space="preserve">72001225</t>
  </si>
  <si>
    <t xml:space="preserve">TRA  ATE 32MM CORR MND S/REP SF</t>
  </si>
  <si>
    <t xml:space="preserve">72000051</t>
  </si>
  <si>
    <t xml:space="preserve">TRA  ATE 32MM CORR MND S/REP</t>
  </si>
  <si>
    <t xml:space="preserve">72000075</t>
  </si>
  <si>
    <t xml:space="preserve">LRP CIM  MND TRA CORR</t>
  </si>
  <si>
    <t xml:space="preserve">72000185</t>
  </si>
  <si>
    <t xml:space="preserve">LRP ESP  MND TRA CORR</t>
  </si>
  <si>
    <t xml:space="preserve">72000186</t>
  </si>
  <si>
    <t xml:space="preserve">LPB  MND TRA CORR COMPX C</t>
  </si>
  <si>
    <t xml:space="preserve">72001108</t>
  </si>
  <si>
    <t xml:space="preserve">TRA  ATE 32MM PREV MND S/REP SF</t>
  </si>
  <si>
    <t xml:space="preserve">72000050</t>
  </si>
  <si>
    <t xml:space="preserve">TRA  ATE 32MM PREV MND S/REP</t>
  </si>
  <si>
    <t xml:space="preserve">72000074</t>
  </si>
  <si>
    <t xml:space="preserve">ADC  SUBST TMD AG    SF</t>
  </si>
  <si>
    <t xml:space="preserve">72000897</t>
  </si>
  <si>
    <t xml:space="preserve">ADC TRC PREV PE CV</t>
  </si>
  <si>
    <t xml:space="preserve">72000225</t>
  </si>
  <si>
    <t xml:space="preserve">ADC  SUBST TMD AG</t>
  </si>
  <si>
    <t xml:space="preserve">72000898</t>
  </si>
  <si>
    <t xml:space="preserve">LRP CIM  MND TRA PREV</t>
  </si>
  <si>
    <t xml:space="preserve">72000177</t>
  </si>
  <si>
    <t xml:space="preserve">LRP ESP  MND TRA PREV</t>
  </si>
  <si>
    <t xml:space="preserve">72000178</t>
  </si>
  <si>
    <t xml:space="preserve">LPB  MND TRA PREV COMPX C</t>
  </si>
  <si>
    <t xml:space="preserve">72001111</t>
  </si>
  <si>
    <t xml:space="preserve">EXECUÇÃO DE SERVIÇOS GERAIS EM CAVALETE</t>
  </si>
  <si>
    <t xml:space="preserve">TCV SF</t>
  </si>
  <si>
    <t xml:space="preserve">72000226</t>
  </si>
  <si>
    <t xml:space="preserve">ADC  TCV    SF</t>
  </si>
  <si>
    <t xml:space="preserve">72000230</t>
  </si>
  <si>
    <t xml:space="preserve">ADIC TROCA PREVENT REGIST CAV DN 20MM SF</t>
  </si>
  <si>
    <t xml:space="preserve">72001002</t>
  </si>
  <si>
    <t xml:space="preserve">SUBST  CV POR UMA  C/REP PASS</t>
  </si>
  <si>
    <t xml:space="preserve">72000215</t>
  </si>
  <si>
    <t xml:space="preserve">SUBST  CV POR UMA  S/REP</t>
  </si>
  <si>
    <t xml:space="preserve">72000214</t>
  </si>
  <si>
    <t xml:space="preserve">TCV</t>
  </si>
  <si>
    <t xml:space="preserve">72000204</t>
  </si>
  <si>
    <t xml:space="preserve">ADC  TCV</t>
  </si>
  <si>
    <t xml:space="preserve">72000217</t>
  </si>
  <si>
    <t xml:space="preserve">TROCA PREVENT REGISTRO CAVALET DN 20MM</t>
  </si>
  <si>
    <t xml:space="preserve">72000205</t>
  </si>
  <si>
    <t xml:space="preserve">ADIC TROCA PREVENT REGIST CAV DN 20MM</t>
  </si>
  <si>
    <t xml:space="preserve">72000218</t>
  </si>
  <si>
    <t xml:space="preserve">FORNEC CAIXA UMAP</t>
  </si>
  <si>
    <t xml:space="preserve">72000890</t>
  </si>
  <si>
    <t xml:space="preserve">EXECUÇÃO DE LIGAÇÃO DE ESGOTO SUCESSIVA</t>
  </si>
  <si>
    <t xml:space="preserve">LESG CER/PVC  PA SUCES S/REP SF</t>
  </si>
  <si>
    <t xml:space="preserve">72000479</t>
  </si>
  <si>
    <t xml:space="preserve">LESG CER/PVC  TA SUCES S/REP SF</t>
  </si>
  <si>
    <t xml:space="preserve">72000480</t>
  </si>
  <si>
    <t xml:space="preserve">LESG CER/PVC  EX SUCES S/REP SF</t>
  </si>
  <si>
    <t xml:space="preserve">72000481</t>
  </si>
  <si>
    <t xml:space="preserve">LESG CER/PVC  TO SUCES S/REP SF</t>
  </si>
  <si>
    <t xml:space="preserve">72000482</t>
  </si>
  <si>
    <t xml:space="preserve">LESG CER/PVC  PO SUCES S/REP SF</t>
  </si>
  <si>
    <t xml:space="preserve">72000483</t>
  </si>
  <si>
    <t xml:space="preserve">LESG PVC  PA SUCES S/REP</t>
  </si>
  <si>
    <t xml:space="preserve">72000511</t>
  </si>
  <si>
    <t xml:space="preserve">LESG PVC  TA SUCES S/REP</t>
  </si>
  <si>
    <t xml:space="preserve">72000512</t>
  </si>
  <si>
    <t xml:space="preserve">LESG PVC  EX SUCES S/REP</t>
  </si>
  <si>
    <t xml:space="preserve">72000513</t>
  </si>
  <si>
    <t xml:space="preserve">LESG PVC  TO SUCES S/REP</t>
  </si>
  <si>
    <t xml:space="preserve">72000514</t>
  </si>
  <si>
    <t xml:space="preserve">LESG PVC  PO SUCES S/REP</t>
  </si>
  <si>
    <t xml:space="preserve">72000515</t>
  </si>
  <si>
    <t xml:space="preserve">LRP CIM   LESG SUCES</t>
  </si>
  <si>
    <t xml:space="preserve">72000571</t>
  </si>
  <si>
    <t xml:space="preserve">LRP ESP   LESG SUCES</t>
  </si>
  <si>
    <t xml:space="preserve">72000572</t>
  </si>
  <si>
    <t xml:space="preserve">LPB  TA LESG SUCES COMPX C</t>
  </si>
  <si>
    <t xml:space="preserve">72001177</t>
  </si>
  <si>
    <t xml:space="preserve">LPB  EX LESG SUCES COMPX C</t>
  </si>
  <si>
    <t xml:space="preserve">72001077</t>
  </si>
  <si>
    <t xml:space="preserve">LPB  TO LESG SUCES COMPX C</t>
  </si>
  <si>
    <t xml:space="preserve">72001207</t>
  </si>
  <si>
    <t xml:space="preserve">EXECUÇÃO DE LIGAÇÃO DE ESGOTO AVULSA</t>
  </si>
  <si>
    <t xml:space="preserve">LESG CER/PVC ATE 2M PA AVUL S/REP SF</t>
  </si>
  <si>
    <t xml:space="preserve">72000005</t>
  </si>
  <si>
    <t xml:space="preserve">LESG CER/PVC ATE 2M TA AVUL S/REP SF</t>
  </si>
  <si>
    <t xml:space="preserve">72000468</t>
  </si>
  <si>
    <t xml:space="preserve">LESG CER/PVC ATE 2M EX AVUL S/REP SF</t>
  </si>
  <si>
    <t xml:space="preserve">72000469</t>
  </si>
  <si>
    <t xml:space="preserve">LESG CER/PVC ATE 2M TO AVUL S/REP SF</t>
  </si>
  <si>
    <t xml:space="preserve">72000470</t>
  </si>
  <si>
    <t xml:space="preserve">LESG CER/PVC ATE 2M PO AVUL S/REP SF</t>
  </si>
  <si>
    <t xml:space="preserve">72000471</t>
  </si>
  <si>
    <t xml:space="preserve">LESG CER/PVC DE 2 A 4M PA AVUL S/REP SF</t>
  </si>
  <si>
    <t xml:space="preserve">72000472</t>
  </si>
  <si>
    <t xml:space="preserve">LESG CER/PVC DE 2 A 4M TA AVUL S/REP SF</t>
  </si>
  <si>
    <t xml:space="preserve">72000473</t>
  </si>
  <si>
    <t xml:space="preserve">LESG CER/PVC DE 2 A 4M EX AVUL S/REP SF</t>
  </si>
  <si>
    <t xml:space="preserve">72000474</t>
  </si>
  <si>
    <t xml:space="preserve">LESG CER/PVC DE 2 A 4M TO AVUL S/REP SF</t>
  </si>
  <si>
    <t xml:space="preserve">72000475</t>
  </si>
  <si>
    <t xml:space="preserve">LESG CER/PVC DE 2 A 4M PO AVUL S/REP SF</t>
  </si>
  <si>
    <t xml:space="preserve">72000476</t>
  </si>
  <si>
    <t xml:space="preserve">LESG PVC ATE 2M PA AVUL S/REP</t>
  </si>
  <si>
    <t xml:space="preserve">72000499</t>
  </si>
  <si>
    <t xml:space="preserve">LESG PVC ATE 2M TA AVUL S/REP</t>
  </si>
  <si>
    <t xml:space="preserve">72000500</t>
  </si>
  <si>
    <t xml:space="preserve">LESG PVC ATE 2M EX AVUL S/REP</t>
  </si>
  <si>
    <t xml:space="preserve">72000501</t>
  </si>
  <si>
    <t xml:space="preserve">LESG PVC ATE 2M TO AVUL S/REP</t>
  </si>
  <si>
    <t xml:space="preserve">72000502</t>
  </si>
  <si>
    <t xml:space="preserve">LESG PVC ATE 2M PO AVUL S/REP</t>
  </si>
  <si>
    <t xml:space="preserve">72000503</t>
  </si>
  <si>
    <t xml:space="preserve">LESG PVC DE 2 A 4M PA AVUL S/REP</t>
  </si>
  <si>
    <t xml:space="preserve">72000504</t>
  </si>
  <si>
    <t xml:space="preserve">LESG PVC DE 2 A 4M TA AVUL S/REP</t>
  </si>
  <si>
    <t xml:space="preserve">72000505</t>
  </si>
  <si>
    <t xml:space="preserve">LESG PVC DE 2 A 4M EX AVUL S/REP</t>
  </si>
  <si>
    <t xml:space="preserve">72000506</t>
  </si>
  <si>
    <t xml:space="preserve">LESG PVC DE 2 A 4M TO AVUL S/REP</t>
  </si>
  <si>
    <t xml:space="preserve">72000507</t>
  </si>
  <si>
    <t xml:space="preserve">LESG PVC DE 2 A 4M PO AVUL S/REP</t>
  </si>
  <si>
    <t xml:space="preserve">72000508</t>
  </si>
  <si>
    <t xml:space="preserve">CMPL CER/PVC LE AVUL 100/150   S/REP SF</t>
  </si>
  <si>
    <t xml:space="preserve">72000477</t>
  </si>
  <si>
    <t xml:space="preserve">CMPL CER/PVC LE AVUL 100/150   C/REP SF</t>
  </si>
  <si>
    <t xml:space="preserve">72000478</t>
  </si>
  <si>
    <t xml:space="preserve">CMPL PVC LE AVUL 100/150   S/REP</t>
  </si>
  <si>
    <t xml:space="preserve">72000509</t>
  </si>
  <si>
    <t xml:space="preserve">CMPL PVC LE AVUL 100/150   C/REP</t>
  </si>
  <si>
    <t xml:space="preserve">72000510</t>
  </si>
  <si>
    <t xml:space="preserve">LRP CIM ATE 2M  LESG</t>
  </si>
  <si>
    <t xml:space="preserve">72000531</t>
  </si>
  <si>
    <t xml:space="preserve">LRP ESP ATE 2M  LESG</t>
  </si>
  <si>
    <t xml:space="preserve">72000533</t>
  </si>
  <si>
    <t xml:space="preserve">LPB ATE 2M TA LESG COMPX C</t>
  </si>
  <si>
    <t xml:space="preserve">72001162</t>
  </si>
  <si>
    <t xml:space="preserve">LPB ATE 2M EX LESG COMPX C</t>
  </si>
  <si>
    <t xml:space="preserve">72001041</t>
  </si>
  <si>
    <t xml:space="preserve">LPB ATE 2M TO LESG COMPX C</t>
  </si>
  <si>
    <t xml:space="preserve">72001201</t>
  </si>
  <si>
    <t xml:space="preserve">LRP CIM MAIS DE 2M  LESG</t>
  </si>
  <si>
    <t xml:space="preserve">72000532</t>
  </si>
  <si>
    <t xml:space="preserve">LRP ESP MAIS DE 2M  LESG</t>
  </si>
  <si>
    <t xml:space="preserve">72000534</t>
  </si>
  <si>
    <t xml:space="preserve">LPB MAIS DE 2M TA LESG COMPX C</t>
  </si>
  <si>
    <t xml:space="preserve">72001174</t>
  </si>
  <si>
    <t xml:space="preserve">LPB MAIS DE 2M EX LESG COMPX C</t>
  </si>
  <si>
    <t xml:space="preserve">72001074</t>
  </si>
  <si>
    <t xml:space="preserve">LPB MAIS DE 2M TO LESG COMPX C</t>
  </si>
  <si>
    <t xml:space="preserve">72001204</t>
  </si>
  <si>
    <t xml:space="preserve">PRESERV  INTERF  SERV. ESG</t>
  </si>
  <si>
    <t xml:space="preserve">72000836</t>
  </si>
  <si>
    <t xml:space="preserve">INST DE CXA DE INSPEÇÃO ESG 45x45x60 CM</t>
  </si>
  <si>
    <t xml:space="preserve">72000907</t>
  </si>
  <si>
    <t xml:space="preserve">EXECUÇÃO DE TROCA DE LIGAÇÃO DE ESGOTO</t>
  </si>
  <si>
    <t xml:space="preserve">TRE  CER/PVC ATE 2M CORR PA S/REP SF</t>
  </si>
  <si>
    <t xml:space="preserve">72000484</t>
  </si>
  <si>
    <t xml:space="preserve">TRE  CER/PVC ATE 2M CORR TA S/REP SF</t>
  </si>
  <si>
    <t xml:space="preserve">72000485</t>
  </si>
  <si>
    <t xml:space="preserve">TRE  CER/PVC ATE 2M CORR EX S/REP SF</t>
  </si>
  <si>
    <t xml:space="preserve">72000486</t>
  </si>
  <si>
    <t xml:space="preserve">TRE  CER/PVC ATE 2M CORR TO S/REP SF</t>
  </si>
  <si>
    <t xml:space="preserve">72000487</t>
  </si>
  <si>
    <t xml:space="preserve">TRE  CER/PVC ATE 2M CORR PO S/REP SF</t>
  </si>
  <si>
    <t xml:space="preserve">72000488</t>
  </si>
  <si>
    <t xml:space="preserve">TRE  CER/PVC DE 2 A 3M CORR PA S/REP SF</t>
  </si>
  <si>
    <t xml:space="preserve">72000489</t>
  </si>
  <si>
    <t xml:space="preserve">TRE  CER/PVC DE 2 A 3M CORR TA S/REP SF</t>
  </si>
  <si>
    <t xml:space="preserve">72000490</t>
  </si>
  <si>
    <t xml:space="preserve">TRE  CER/PVC DE 2 A 3M CORR EX S/REP SF</t>
  </si>
  <si>
    <t xml:space="preserve">72000491</t>
  </si>
  <si>
    <t xml:space="preserve">TRE  CER/PVC DE 2 A 3M CORR TO S/REP SF</t>
  </si>
  <si>
    <t xml:space="preserve">72000492</t>
  </si>
  <si>
    <t xml:space="preserve">TRE  CER/PVC DE 2 A 3M CORR PO S/REP SF</t>
  </si>
  <si>
    <t xml:space="preserve">72000493</t>
  </si>
  <si>
    <t xml:space="preserve">TRE  CER/PVC DE 3 A 4M CORR PA S/REP SF</t>
  </si>
  <si>
    <t xml:space="preserve">72000494</t>
  </si>
  <si>
    <t xml:space="preserve">TRE  CER/PVC DE 3 A 4M CORR TA S/REP SF</t>
  </si>
  <si>
    <t xml:space="preserve">72000495</t>
  </si>
  <si>
    <t xml:space="preserve">TRE  CER/PVC DE 3 A 4M CORR EX S/REP SF</t>
  </si>
  <si>
    <t xml:space="preserve">72000496</t>
  </si>
  <si>
    <t xml:space="preserve">TRE  CER/PVC DE 3 A 4M CORR TO S/REP SF</t>
  </si>
  <si>
    <t xml:space="preserve">72000497</t>
  </si>
  <si>
    <t xml:space="preserve">72000498</t>
  </si>
  <si>
    <t xml:space="preserve">TRE  PVC ATE 2M CORR PA S/REP</t>
  </si>
  <si>
    <t xml:space="preserve">72000516</t>
  </si>
  <si>
    <t xml:space="preserve">TRE  PVC ATE 2M CORR TA S/REP</t>
  </si>
  <si>
    <t xml:space="preserve">72000517</t>
  </si>
  <si>
    <t xml:space="preserve">TRE  PVC ATE 2M CORR EX S/REP</t>
  </si>
  <si>
    <t xml:space="preserve">72000518</t>
  </si>
  <si>
    <t xml:space="preserve">TRE  PVC ATE 2M CORR TO S/REP</t>
  </si>
  <si>
    <t xml:space="preserve">72000519</t>
  </si>
  <si>
    <t xml:space="preserve">TRE  PVC ATE 2M CORR PO S/REP</t>
  </si>
  <si>
    <t xml:space="preserve">72000520</t>
  </si>
  <si>
    <t xml:space="preserve">TRE  PVC DE 2 A 3M CORR PA S/REP</t>
  </si>
  <si>
    <t xml:space="preserve">72000521</t>
  </si>
  <si>
    <t xml:space="preserve">TRE  PVC DE 2 A 3M CORR TA S/REP</t>
  </si>
  <si>
    <t xml:space="preserve">72000522</t>
  </si>
  <si>
    <t xml:space="preserve">TRE  PVC DE 2 A 3M CORR EX S/REP</t>
  </si>
  <si>
    <t xml:space="preserve">72000523</t>
  </si>
  <si>
    <t xml:space="preserve">TRE  PVC DE 2 A 3M CORR TO S/REP</t>
  </si>
  <si>
    <t xml:space="preserve">72000524</t>
  </si>
  <si>
    <t xml:space="preserve">TRE  PVC DE 2 A 3M CORR PO S/REP</t>
  </si>
  <si>
    <t xml:space="preserve">72000525</t>
  </si>
  <si>
    <t xml:space="preserve">TRE  PVC DE 3 A 4M CORR PA S/REP</t>
  </si>
  <si>
    <t xml:space="preserve">72000526</t>
  </si>
  <si>
    <t xml:space="preserve">TRE  PVC DE 3 A 4M CORR TA S/REP</t>
  </si>
  <si>
    <t xml:space="preserve">72000527</t>
  </si>
  <si>
    <t xml:space="preserve">TRE  PVC DE 3 A 4M CORR EX S/REP</t>
  </si>
  <si>
    <t xml:space="preserve">72000528</t>
  </si>
  <si>
    <t xml:space="preserve">TRE  PVC DE 3 A 4M CORR TO S/REP</t>
  </si>
  <si>
    <t xml:space="preserve">72000529</t>
  </si>
  <si>
    <t xml:space="preserve">TRE  PVC DE 3 A 4M CORR PO S/REP</t>
  </si>
  <si>
    <t xml:space="preserve">72000530</t>
  </si>
  <si>
    <t xml:space="preserve">LRP CIM ATE 2M  TRE</t>
  </si>
  <si>
    <t xml:space="preserve">72000591</t>
  </si>
  <si>
    <t xml:space="preserve">LRP CIM DE 2 A 3M  TRE</t>
  </si>
  <si>
    <t xml:space="preserve">72000592</t>
  </si>
  <si>
    <t xml:space="preserve">LRP CIM DE 3 A 4M  TRE</t>
  </si>
  <si>
    <t xml:space="preserve">72000593</t>
  </si>
  <si>
    <t xml:space="preserve">LRP ESP ATE 2M  TRE</t>
  </si>
  <si>
    <t xml:space="preserve">72000594</t>
  </si>
  <si>
    <t xml:space="preserve">LRP ESP DE 2 A 3M  TRE</t>
  </si>
  <si>
    <t xml:space="preserve">72000595</t>
  </si>
  <si>
    <t xml:space="preserve">LRP ESP DE 3 A 4M  TRE</t>
  </si>
  <si>
    <t xml:space="preserve">72000596</t>
  </si>
  <si>
    <t xml:space="preserve">LPB ATE 2M TA TRE  COMPX C</t>
  </si>
  <si>
    <t xml:space="preserve">72001186</t>
  </si>
  <si>
    <t xml:space="preserve">LPB DE 2 A 3M TA TRE  COMPX C</t>
  </si>
  <si>
    <t xml:space="preserve">72001189</t>
  </si>
  <si>
    <t xml:space="preserve">LPB DE 3 A 4M TA TRE  COMPX C</t>
  </si>
  <si>
    <t xml:space="preserve">72001192</t>
  </si>
  <si>
    <t xml:space="preserve">LPB ATE 2M EX TRE  COMPX C</t>
  </si>
  <si>
    <t xml:space="preserve">72001088</t>
  </si>
  <si>
    <t xml:space="preserve">LPB DE 2 A 3M EX TRE  COMPX C</t>
  </si>
  <si>
    <t xml:space="preserve">72001091</t>
  </si>
  <si>
    <t xml:space="preserve">LPB DE 3 A 4M EX TRE  COMPX C</t>
  </si>
  <si>
    <t xml:space="preserve">72001094</t>
  </si>
  <si>
    <t xml:space="preserve">LPB ATE 2M TO TRE  COMPX C</t>
  </si>
  <si>
    <t xml:space="preserve">72001216</t>
  </si>
  <si>
    <t xml:space="preserve">LPB DE 2 A 3M TO TRE  COMPX C</t>
  </si>
  <si>
    <t xml:space="preserve">72001219</t>
  </si>
  <si>
    <t xml:space="preserve">LPB DE 3 A 4M TO TRE  COMPX C</t>
  </si>
  <si>
    <t xml:space="preserve">72001222</t>
  </si>
  <si>
    <t xml:space="preserve">PREÇOS DO CONTRATO — CONSÓRCIO GLOBAL SANTOS II</t>
  </si>
  <si>
    <t xml:space="preserve">Transcrito das fotos enviadas em 25/08/2026 (Planilhas de Preços Contratuais). Água = coluna K50. Itens marcados 'conferir' tiveram dígitos cortados na foto.</t>
  </si>
  <si>
    <t xml:space="preserve">SERVIÇOS DE ESGOTO</t>
  </si>
  <si>
    <t xml:space="preserve">OBS</t>
  </si>
  <si>
    <t xml:space="preserve">2090501</t>
  </si>
  <si>
    <t xml:space="preserve">CONST PI ATE 2M  S/REP</t>
  </si>
  <si>
    <t xml:space="preserve">72000759</t>
  </si>
  <si>
    <t xml:space="preserve">2220501</t>
  </si>
  <si>
    <t xml:space="preserve">2090502</t>
  </si>
  <si>
    <t xml:space="preserve">CONST PI DE 2 A 3M  S/REP</t>
  </si>
  <si>
    <t xml:space="preserve">72000760</t>
  </si>
  <si>
    <t xml:space="preserve">2220502</t>
  </si>
  <si>
    <t xml:space="preserve">2090508</t>
  </si>
  <si>
    <t xml:space="preserve">CPV DIAM = 1,20M - DE 2 A 3M - S/REP</t>
  </si>
  <si>
    <t xml:space="preserve">72000748</t>
  </si>
  <si>
    <t xml:space="preserve">2220508</t>
  </si>
  <si>
    <t xml:space="preserve">2090509</t>
  </si>
  <si>
    <t xml:space="preserve">CPV DIAM = 1,20M - DE 3 A 4M - S/REP</t>
  </si>
  <si>
    <t xml:space="preserve">72000749</t>
  </si>
  <si>
    <t xml:space="preserve">2220509</t>
  </si>
  <si>
    <t xml:space="preserve">2090510</t>
  </si>
  <si>
    <t xml:space="preserve">CPV DIAM = 1,20M - DE 4 A 5M - S/REP</t>
  </si>
  <si>
    <t xml:space="preserve">72000750</t>
  </si>
  <si>
    <t xml:space="preserve">2220510</t>
  </si>
  <si>
    <t xml:space="preserve">2090507</t>
  </si>
  <si>
    <t xml:space="preserve">CPV DIAM = 1,20M - PROF ATE 2M  S/REP</t>
  </si>
  <si>
    <t xml:space="preserve">72000747</t>
  </si>
  <si>
    <t xml:space="preserve">2220507</t>
  </si>
  <si>
    <t xml:space="preserve">2090503</t>
  </si>
  <si>
    <t xml:space="preserve">CPV DIAM = 1M - PROF ATE 2M  S/REP</t>
  </si>
  <si>
    <t xml:space="preserve">72000743</t>
  </si>
  <si>
    <t xml:space="preserve">2220503</t>
  </si>
  <si>
    <t xml:space="preserve">2090504</t>
  </si>
  <si>
    <t xml:space="preserve">CPV DIAM = 1M - PROF DE 2 A 3M  S/REP</t>
  </si>
  <si>
    <t xml:space="preserve">72000744</t>
  </si>
  <si>
    <t xml:space="preserve">2220504</t>
  </si>
  <si>
    <t xml:space="preserve">2090505</t>
  </si>
  <si>
    <t xml:space="preserve">CPV DIAM = 1M - PROF DE 3 A 4M  S/REP</t>
  </si>
  <si>
    <t xml:space="preserve">72000745</t>
  </si>
  <si>
    <t xml:space="preserve">2220505</t>
  </si>
  <si>
    <t xml:space="preserve">2090506</t>
  </si>
  <si>
    <t xml:space="preserve">CPV DIAM = 1M - PROF DE 4 A 5M  S/REP</t>
  </si>
  <si>
    <t xml:space="preserve">72000746</t>
  </si>
  <si>
    <t xml:space="preserve">2220506</t>
  </si>
  <si>
    <t xml:space="preserve">2240327</t>
  </si>
  <si>
    <t xml:space="preserve">LPB ATE 2M EX TRE  COMPX A</t>
  </si>
  <si>
    <t xml:space="preserve">72001086</t>
  </si>
  <si>
    <t xml:space="preserve">2240326</t>
  </si>
  <si>
    <t xml:space="preserve">LPB ATE 2M EX TRE  COMPX B</t>
  </si>
  <si>
    <t xml:space="preserve">72001087</t>
  </si>
  <si>
    <t xml:space="preserve">2240325</t>
  </si>
  <si>
    <t xml:space="preserve">2240309</t>
  </si>
  <si>
    <t xml:space="preserve">LPB ATE 2M TA TRE  COMPX A</t>
  </si>
  <si>
    <t xml:space="preserve">72001184</t>
  </si>
  <si>
    <t xml:space="preserve">2240308</t>
  </si>
  <si>
    <t xml:space="preserve">LPB ATE 2M TA TRE  COMPX B</t>
  </si>
  <si>
    <t xml:space="preserve">72001185</t>
  </si>
  <si>
    <t xml:space="preserve">foto cortada — conferir centavos</t>
  </si>
  <si>
    <t xml:space="preserve">2240307</t>
  </si>
  <si>
    <t xml:space="preserve">2240345</t>
  </si>
  <si>
    <t xml:space="preserve">LPB ATE 2M TO TRE  COMPX A</t>
  </si>
  <si>
    <t xml:space="preserve">72001214</t>
  </si>
  <si>
    <t xml:space="preserve">2240344</t>
  </si>
  <si>
    <t xml:space="preserve">LPB ATE 2M TO TRE  COMPX B</t>
  </si>
  <si>
    <t xml:space="preserve">72001215</t>
  </si>
  <si>
    <t xml:space="preserve">2240343</t>
  </si>
  <si>
    <t xml:space="preserve">1090115</t>
  </si>
  <si>
    <t xml:space="preserve">SUBST PI POR PLAST ATE 2M  S/REP</t>
  </si>
  <si>
    <t xml:space="preserve">72000767</t>
  </si>
  <si>
    <t xml:space="preserve">1090110</t>
  </si>
  <si>
    <t xml:space="preserve">REC PI DE 2 A 3M  S/REP</t>
  </si>
  <si>
    <t xml:space="preserve">72000762</t>
  </si>
  <si>
    <t xml:space="preserve">1090109</t>
  </si>
  <si>
    <t xml:space="preserve">REC PI ATE 2M  S/REP</t>
  </si>
  <si>
    <t xml:space="preserve">72000761</t>
  </si>
  <si>
    <t xml:space="preserve">2090605</t>
  </si>
  <si>
    <t xml:space="preserve">LPB CPV DIAM = 1,20M  COMPX A</t>
  </si>
  <si>
    <t xml:space="preserve">72001060</t>
  </si>
  <si>
    <t xml:space="preserve">2220605</t>
  </si>
  <si>
    <t xml:space="preserve">2090604</t>
  </si>
  <si>
    <t xml:space="preserve">LPB CPV DIAM = 1,20M  COMPX B</t>
  </si>
  <si>
    <t xml:space="preserve">72001061</t>
  </si>
  <si>
    <t xml:space="preserve">2220604</t>
  </si>
  <si>
    <t xml:space="preserve">2090603</t>
  </si>
  <si>
    <t xml:space="preserve">LPB CPV DIAM = 1,20M  COMPX C</t>
  </si>
  <si>
    <t xml:space="preserve">72001062</t>
  </si>
  <si>
    <t xml:space="preserve">2220603</t>
  </si>
  <si>
    <t xml:space="preserve">2240333</t>
  </si>
  <si>
    <t xml:space="preserve">LPB DE 2 A 3M EX TRE  COMPX A</t>
  </si>
  <si>
    <t xml:space="preserve">72001089</t>
  </si>
  <si>
    <t xml:space="preserve">2240332</t>
  </si>
  <si>
    <t xml:space="preserve">LPB DE 2 A 3M EX TRE  COMPX B</t>
  </si>
  <si>
    <t xml:space="preserve">72001090</t>
  </si>
  <si>
    <t xml:space="preserve">2240331</t>
  </si>
  <si>
    <t xml:space="preserve">2240315</t>
  </si>
  <si>
    <t xml:space="preserve">LPB DE 2 A 3M TA TRE  COMPX A</t>
  </si>
  <si>
    <t xml:space="preserve">72001187</t>
  </si>
  <si>
    <t xml:space="preserve">2240314</t>
  </si>
  <si>
    <t xml:space="preserve">LPB DE 2 A 3M TA TRE  COMPX B</t>
  </si>
  <si>
    <t xml:space="preserve">72001188</t>
  </si>
  <si>
    <t xml:space="preserve">2240313</t>
  </si>
  <si>
    <t xml:space="preserve">2240351</t>
  </si>
  <si>
    <t xml:space="preserve">LPB DE 2 A 3M TO TRE  COMPX A</t>
  </si>
  <si>
    <t xml:space="preserve">72001217</t>
  </si>
  <si>
    <t xml:space="preserve">2240350</t>
  </si>
  <si>
    <t xml:space="preserve">LPB DE 2 A 3M TO TRE  COMPX B</t>
  </si>
  <si>
    <t xml:space="preserve">72001218</t>
  </si>
  <si>
    <t xml:space="preserve">2240349</t>
  </si>
  <si>
    <t xml:space="preserve">2240339</t>
  </si>
  <si>
    <t xml:space="preserve">LPB DE 3 A 4M EX TRE  COMPX A</t>
  </si>
  <si>
    <t xml:space="preserve">72001092</t>
  </si>
  <si>
    <t xml:space="preserve">2240338</t>
  </si>
  <si>
    <t xml:space="preserve">LPB DE 3 A 4M EX TRE  COMPX B</t>
  </si>
  <si>
    <t xml:space="preserve">72001093</t>
  </si>
  <si>
    <t xml:space="preserve">2240337</t>
  </si>
  <si>
    <t xml:space="preserve">2240321</t>
  </si>
  <si>
    <t xml:space="preserve">LPB DE 3 A 4M TA TRE  COMPX A</t>
  </si>
  <si>
    <t xml:space="preserve">72001190</t>
  </si>
  <si>
    <t xml:space="preserve">2240320</t>
  </si>
  <si>
    <t xml:space="preserve">LPB DE 3 A 4M TA TRE  COMPX B</t>
  </si>
  <si>
    <t xml:space="preserve">72001191</t>
  </si>
  <si>
    <t xml:space="preserve">2240319</t>
  </si>
  <si>
    <t xml:space="preserve">2240357</t>
  </si>
  <si>
    <t xml:space="preserve">LPB DE 3 A 4M TO TRE  COMPX A</t>
  </si>
  <si>
    <t xml:space="preserve">72001220</t>
  </si>
  <si>
    <t xml:space="preserve">2240356</t>
  </si>
  <si>
    <t xml:space="preserve">LPB DE 3 A 4M TO TRE  COMPX B</t>
  </si>
  <si>
    <t xml:space="preserve">72001221</t>
  </si>
  <si>
    <t xml:space="preserve">2240355</t>
  </si>
  <si>
    <t xml:space="preserve">1090116</t>
  </si>
  <si>
    <t xml:space="preserve">SUBST PV POR PLAST ATE 2M  S/REP</t>
  </si>
  <si>
    <t xml:space="preserve">72000768</t>
  </si>
  <si>
    <t xml:space="preserve">1090117</t>
  </si>
  <si>
    <t xml:space="preserve">SUBST PV POR PLAST DE 2 A 3M  S/REP</t>
  </si>
  <si>
    <t xml:space="preserve">72000769</t>
  </si>
  <si>
    <t xml:space="preserve">1090118</t>
  </si>
  <si>
    <t xml:space="preserve">SUBST PV POR PLAST DE 3 A 4M  S/REP</t>
  </si>
  <si>
    <t xml:space="preserve">72000770</t>
  </si>
  <si>
    <t xml:space="preserve">2140501</t>
  </si>
  <si>
    <t xml:space="preserve">2240301</t>
  </si>
  <si>
    <t xml:space="preserve">2240302</t>
  </si>
  <si>
    <t xml:space="preserve">2240303</t>
  </si>
  <si>
    <t xml:space="preserve">2140521</t>
  </si>
  <si>
    <t xml:space="preserve">2090409</t>
  </si>
  <si>
    <t xml:space="preserve">LRP CIM PROF ACIMA DE 2M  PRE</t>
  </si>
  <si>
    <t xml:space="preserve">72001227</t>
  </si>
  <si>
    <t xml:space="preserve">2220409</t>
  </si>
  <si>
    <t xml:space="preserve">2090401</t>
  </si>
  <si>
    <t xml:space="preserve">LRP CIM PROF ATE 2M  PRE</t>
  </si>
  <si>
    <t xml:space="preserve">72001226</t>
  </si>
  <si>
    <t xml:space="preserve">2220401</t>
  </si>
  <si>
    <t xml:space="preserve">2130302</t>
  </si>
  <si>
    <t xml:space="preserve">LRP ESP  LESG SUCES</t>
  </si>
  <si>
    <t xml:space="preserve">2140502</t>
  </si>
  <si>
    <t xml:space="preserve">2240304</t>
  </si>
  <si>
    <t xml:space="preserve">2090602</t>
  </si>
  <si>
    <t xml:space="preserve">LRP ESP CPV DIAM = 1,20M</t>
  </si>
  <si>
    <t xml:space="preserve">72001233</t>
  </si>
  <si>
    <t xml:space="preserve">2220602</t>
  </si>
  <si>
    <t xml:space="preserve">2240305</t>
  </si>
  <si>
    <t xml:space="preserve">2240306</t>
  </si>
  <si>
    <t xml:space="preserve">2090410</t>
  </si>
  <si>
    <t xml:space="preserve">LRP ESP PROF ACIMA DE 2M  PRE</t>
  </si>
  <si>
    <t xml:space="preserve">72001232</t>
  </si>
  <si>
    <t xml:space="preserve">2220410</t>
  </si>
  <si>
    <t xml:space="preserve">2090402</t>
  </si>
  <si>
    <t xml:space="preserve">LRP ESP PROF ATE 2M  PRE</t>
  </si>
  <si>
    <t xml:space="preserve">72001231</t>
  </si>
  <si>
    <t xml:space="preserve">2220402</t>
  </si>
  <si>
    <t xml:space="preserve">2240103</t>
  </si>
  <si>
    <t xml:space="preserve">2240101</t>
  </si>
  <si>
    <t xml:space="preserve">2240105</t>
  </si>
  <si>
    <t xml:space="preserve">2240102</t>
  </si>
  <si>
    <t xml:space="preserve">2240104</t>
  </si>
  <si>
    <t xml:space="preserve">2240108</t>
  </si>
  <si>
    <t xml:space="preserve">2240106</t>
  </si>
  <si>
    <t xml:space="preserve">2240110</t>
  </si>
  <si>
    <t xml:space="preserve">2240107</t>
  </si>
  <si>
    <t xml:space="preserve">2240109</t>
  </si>
  <si>
    <t xml:space="preserve">2240113</t>
  </si>
  <si>
    <t xml:space="preserve">2240111</t>
  </si>
  <si>
    <t xml:space="preserve">2240112</t>
  </si>
  <si>
    <t xml:space="preserve">2240115</t>
  </si>
  <si>
    <t xml:space="preserve">impresso repete TO (provável PO)</t>
  </si>
  <si>
    <t xml:space="preserve">2240114</t>
  </si>
  <si>
    <t xml:space="preserve">2240203</t>
  </si>
  <si>
    <t xml:space="preserve">2240201</t>
  </si>
  <si>
    <t xml:space="preserve">2240205</t>
  </si>
  <si>
    <t xml:space="preserve">2240202</t>
  </si>
  <si>
    <t xml:space="preserve">2240204</t>
  </si>
  <si>
    <t xml:space="preserve">2240208</t>
  </si>
  <si>
    <t xml:space="preserve">2240206</t>
  </si>
  <si>
    <t xml:space="preserve">2240210</t>
  </si>
  <si>
    <t xml:space="preserve">2240207</t>
  </si>
  <si>
    <t xml:space="preserve">2240209</t>
  </si>
  <si>
    <t xml:space="preserve">2240213</t>
  </si>
  <si>
    <t xml:space="preserve">2240211</t>
  </si>
  <si>
    <t xml:space="preserve">2240215</t>
  </si>
  <si>
    <t xml:space="preserve">2240212</t>
  </si>
  <si>
    <t xml:space="preserve">2240214</t>
  </si>
  <si>
    <t xml:space="preserve">2030217</t>
  </si>
  <si>
    <t xml:space="preserve">CONCRETO CONST. PECAS</t>
  </si>
  <si>
    <t xml:space="preserve">72000896</t>
  </si>
  <si>
    <t xml:space="preserve">M3</t>
  </si>
  <si>
    <t xml:space="preserve">2140531</t>
  </si>
  <si>
    <t xml:space="preserve">LPB MAIS DE 2M EX LESG COMPX A</t>
  </si>
  <si>
    <t xml:space="preserve">72001072</t>
  </si>
  <si>
    <t xml:space="preserve">2140515</t>
  </si>
  <si>
    <t xml:space="preserve">2140530</t>
  </si>
  <si>
    <t xml:space="preserve">LPB MAIS DE 2M EX LESG COMPX B</t>
  </si>
  <si>
    <t xml:space="preserve">72001073</t>
  </si>
  <si>
    <t xml:space="preserve">2140535</t>
  </si>
  <si>
    <t xml:space="preserve">2140509</t>
  </si>
  <si>
    <t xml:space="preserve">2140529</t>
  </si>
  <si>
    <t xml:space="preserve">2140517</t>
  </si>
  <si>
    <t xml:space="preserve">LPB ATE 2M TO LESG COMPX A</t>
  </si>
  <si>
    <t xml:space="preserve">72001199</t>
  </si>
  <si>
    <t xml:space="preserve">2140537</t>
  </si>
  <si>
    <t xml:space="preserve">LPB MAIS DE 2M TO LESG COMPX A</t>
  </si>
  <si>
    <t xml:space="preserve">72001202</t>
  </si>
  <si>
    <t xml:space="preserve">2140516</t>
  </si>
  <si>
    <t xml:space="preserve">LPB ATE 2M TO LESG COMPX B</t>
  </si>
  <si>
    <t xml:space="preserve">72001200</t>
  </si>
  <si>
    <t xml:space="preserve">2140536</t>
  </si>
  <si>
    <t xml:space="preserve">LPB MAIS DE 2M TO LESG COMPX B</t>
  </si>
  <si>
    <t xml:space="preserve">72001203</t>
  </si>
  <si>
    <t xml:space="preserve">2140503</t>
  </si>
  <si>
    <t xml:space="preserve">2140511</t>
  </si>
  <si>
    <t xml:space="preserve">LPB ATE 2M EX LESG COMPX A</t>
  </si>
  <si>
    <t xml:space="preserve">72001039</t>
  </si>
  <si>
    <t xml:space="preserve">2140510</t>
  </si>
  <si>
    <t xml:space="preserve">LPB ATE 2M EX LESG COMPX B</t>
  </si>
  <si>
    <t xml:space="preserve">72001040</t>
  </si>
  <si>
    <t xml:space="preserve">2140523</t>
  </si>
  <si>
    <t xml:space="preserve">2130311</t>
  </si>
  <si>
    <t xml:space="preserve">LPB  EX LESG SUCES COMPX A</t>
  </si>
  <si>
    <t xml:space="preserve">72001075</t>
  </si>
  <si>
    <t xml:space="preserve">2130301</t>
  </si>
  <si>
    <t xml:space="preserve">2140505</t>
  </si>
  <si>
    <t xml:space="preserve">LPB ATE 2M TA LESG COMPX A</t>
  </si>
  <si>
    <t xml:space="preserve">72001080</t>
  </si>
  <si>
    <t xml:space="preserve">2140525</t>
  </si>
  <si>
    <t xml:space="preserve">LPB ASF MAIS DE 2M TA LESG COMPX A</t>
  </si>
  <si>
    <t xml:space="preserve">72001172</t>
  </si>
  <si>
    <t xml:space="preserve">2130310</t>
  </si>
  <si>
    <t xml:space="preserve">LPB  EX LESG SUCES COMPX B</t>
  </si>
  <si>
    <t xml:space="preserve">72001076</t>
  </si>
  <si>
    <t xml:space="preserve">2140504</t>
  </si>
  <si>
    <t xml:space="preserve">LPB ATE 2M TA LESG COMPX B</t>
  </si>
  <si>
    <t xml:space="preserve">72001081</t>
  </si>
  <si>
    <t xml:space="preserve">2140524</t>
  </si>
  <si>
    <t xml:space="preserve">LPB MAIS DE 2M TA LESG COMPX B</t>
  </si>
  <si>
    <t xml:space="preserve">72001173</t>
  </si>
  <si>
    <t xml:space="preserve">item repetido no impresso com preço diferente (247,93 na pág. 2) — conferir</t>
  </si>
  <si>
    <t xml:space="preserve">2130201</t>
  </si>
  <si>
    <t xml:space="preserve">2130202</t>
  </si>
  <si>
    <t xml:space="preserve">2130203</t>
  </si>
  <si>
    <t xml:space="preserve">2130204</t>
  </si>
  <si>
    <t xml:space="preserve">2130205</t>
  </si>
  <si>
    <t xml:space="preserve">2130303</t>
  </si>
  <si>
    <t xml:space="preserve">2130304</t>
  </si>
  <si>
    <t xml:space="preserve">LPB  TA LESG SUCES COMPX B</t>
  </si>
  <si>
    <t xml:space="preserve">72001176</t>
  </si>
  <si>
    <t xml:space="preserve">2130305</t>
  </si>
  <si>
    <t xml:space="preserve">LPB  TA LESG SUCES COMPX A</t>
  </si>
  <si>
    <t xml:space="preserve">72001175</t>
  </si>
  <si>
    <t xml:space="preserve">2130309</t>
  </si>
  <si>
    <t xml:space="preserve">2130315</t>
  </si>
  <si>
    <t xml:space="preserve">2130316</t>
  </si>
  <si>
    <t xml:space="preserve">LPB  TO LESG SUCES COMPX B</t>
  </si>
  <si>
    <t xml:space="preserve">72001206</t>
  </si>
  <si>
    <t xml:space="preserve">2130317</t>
  </si>
  <si>
    <t xml:space="preserve">LPB  TO LESG SUCES COMPX A</t>
  </si>
  <si>
    <t xml:space="preserve">72001205</t>
  </si>
  <si>
    <t xml:space="preserve">2140201</t>
  </si>
  <si>
    <t xml:space="preserve">2140202</t>
  </si>
  <si>
    <t xml:space="preserve">2140203</t>
  </si>
  <si>
    <t xml:space="preserve">2140204</t>
  </si>
  <si>
    <t xml:space="preserve">2140205</t>
  </si>
  <si>
    <t xml:space="preserve">2140206</t>
  </si>
  <si>
    <t xml:space="preserve">2140207</t>
  </si>
  <si>
    <t xml:space="preserve">2140208</t>
  </si>
  <si>
    <t xml:space="preserve">2140209</t>
  </si>
  <si>
    <t xml:space="preserve">SERVIÇOS DE ÁGUA (coluna K50)</t>
  </si>
  <si>
    <t xml:space="preserve">2060101</t>
  </si>
  <si>
    <t xml:space="preserve">2060102</t>
  </si>
  <si>
    <t xml:space="preserve">2060103</t>
  </si>
  <si>
    <t xml:space="preserve">2060104</t>
  </si>
  <si>
    <t xml:space="preserve">2060105</t>
  </si>
  <si>
    <t xml:space="preserve">2060201</t>
  </si>
  <si>
    <t xml:space="preserve">2060202</t>
  </si>
  <si>
    <t xml:space="preserve">2060203</t>
  </si>
  <si>
    <t xml:space="preserve">2060204</t>
  </si>
  <si>
    <t xml:space="preserve">2060205</t>
  </si>
  <si>
    <t xml:space="preserve">1030501</t>
  </si>
  <si>
    <t xml:space="preserve">LRP CIM  SUPR RELIGACAO DE LIGACAO</t>
  </si>
  <si>
    <t xml:space="preserve">72001230</t>
  </si>
  <si>
    <t xml:space="preserve">2060303</t>
  </si>
  <si>
    <t xml:space="preserve">2060304</t>
  </si>
  <si>
    <t xml:space="preserve">LPB  TA LAG SUCES COMPX B</t>
  </si>
  <si>
    <t xml:space="preserve">72001179</t>
  </si>
  <si>
    <t xml:space="preserve">2060305</t>
  </si>
  <si>
    <t xml:space="preserve">LPB  TA LAG SUCES COMPX A</t>
  </si>
  <si>
    <t xml:space="preserve">72001178</t>
  </si>
  <si>
    <t xml:space="preserve">2060309</t>
  </si>
  <si>
    <t xml:space="preserve">2060310</t>
  </si>
  <si>
    <t xml:space="preserve">LPB EX LAG SUCES COMPX B</t>
  </si>
  <si>
    <t xml:space="preserve">72001079</t>
  </si>
  <si>
    <t xml:space="preserve">2060311</t>
  </si>
  <si>
    <t xml:space="preserve">LPB EX LAG SUCES COMPX A</t>
  </si>
  <si>
    <t xml:space="preserve">72001078</t>
  </si>
  <si>
    <t xml:space="preserve">2060315</t>
  </si>
  <si>
    <t xml:space="preserve">2060316</t>
  </si>
  <si>
    <t xml:space="preserve">LPB  TO LAG SUCES COMPX B</t>
  </si>
  <si>
    <t xml:space="preserve">72001209</t>
  </si>
  <si>
    <t xml:space="preserve">2060317</t>
  </si>
  <si>
    <t xml:space="preserve">LPB  TO LAG SUCES COMPX A</t>
  </si>
  <si>
    <t xml:space="preserve">72001208</t>
  </si>
  <si>
    <t xml:space="preserve">2060401</t>
  </si>
  <si>
    <t xml:space="preserve">2060501</t>
  </si>
  <si>
    <t xml:space="preserve">1030502</t>
  </si>
  <si>
    <t xml:space="preserve">LRP ESP  SUPR RELIGACAO DE LIGACAO</t>
  </si>
  <si>
    <t xml:space="preserve">72001235</t>
  </si>
  <si>
    <t xml:space="preserve">2060603</t>
  </si>
  <si>
    <t xml:space="preserve">2060604</t>
  </si>
  <si>
    <t xml:space="preserve">LPB  MND LAG SUCES COMPX B</t>
  </si>
  <si>
    <t xml:space="preserve">72001104</t>
  </si>
  <si>
    <t xml:space="preserve">2060605</t>
  </si>
  <si>
    <t xml:space="preserve">LPB  MND LAG SUCES COMPX A</t>
  </si>
  <si>
    <t xml:space="preserve">72001103</t>
  </si>
  <si>
    <t xml:space="preserve">2070101</t>
  </si>
  <si>
    <t xml:space="preserve">2070102</t>
  </si>
  <si>
    <t xml:space="preserve">2070103</t>
  </si>
  <si>
    <t xml:space="preserve">2070104</t>
  </si>
  <si>
    <t xml:space="preserve">2070105</t>
  </si>
  <si>
    <t xml:space="preserve">2070201</t>
  </si>
  <si>
    <t xml:space="preserve">2070202</t>
  </si>
  <si>
    <t xml:space="preserve">2070203</t>
  </si>
  <si>
    <t xml:space="preserve">2070204</t>
  </si>
  <si>
    <t xml:space="preserve">2070205</t>
  </si>
  <si>
    <t xml:space="preserve">2070301</t>
  </si>
  <si>
    <t xml:space="preserve">2070302</t>
  </si>
  <si>
    <t xml:space="preserve">2070303</t>
  </si>
  <si>
    <t xml:space="preserve">2070304</t>
  </si>
  <si>
    <t xml:space="preserve">2060301</t>
  </si>
  <si>
    <t xml:space="preserve">2070403</t>
  </si>
  <si>
    <t xml:space="preserve">2070404</t>
  </si>
  <si>
    <t xml:space="preserve">LPB TA LAG AVUL COMPX B</t>
  </si>
  <si>
    <t xml:space="preserve">72001158</t>
  </si>
  <si>
    <t xml:space="preserve">2070405</t>
  </si>
  <si>
    <t xml:space="preserve">LPB  TA LAG AVUL COMPX A</t>
  </si>
  <si>
    <t xml:space="preserve">72001157</t>
  </si>
  <si>
    <t xml:space="preserve">2070409</t>
  </si>
  <si>
    <t xml:space="preserve">2070410</t>
  </si>
  <si>
    <t xml:space="preserve">LPB EX LAG AVUL COMPX B</t>
  </si>
  <si>
    <t xml:space="preserve">72001070</t>
  </si>
  <si>
    <t xml:space="preserve">2070411</t>
  </si>
  <si>
    <t xml:space="preserve">LPB  ASF EX LAG AVUL COMPX A</t>
  </si>
  <si>
    <t xml:space="preserve">72001069</t>
  </si>
  <si>
    <t xml:space="preserve">2070415</t>
  </si>
  <si>
    <t xml:space="preserve">2070416</t>
  </si>
  <si>
    <t xml:space="preserve">LPB TO LAG AVUL COMPX B</t>
  </si>
  <si>
    <t xml:space="preserve">72001197</t>
  </si>
  <si>
    <t xml:space="preserve">2070417</t>
  </si>
  <si>
    <t xml:space="preserve">LPB TO LAG AVUL COMPX A</t>
  </si>
  <si>
    <t xml:space="preserve">72001196</t>
  </si>
  <si>
    <t xml:space="preserve">2070501</t>
  </si>
  <si>
    <t xml:space="preserve">2070601</t>
  </si>
  <si>
    <t xml:space="preserve">2060302</t>
  </si>
  <si>
    <t xml:space="preserve">2070703</t>
  </si>
  <si>
    <t xml:space="preserve">2070704</t>
  </si>
  <si>
    <t xml:space="preserve">LPB  MND LAG AVUL COMPX B</t>
  </si>
  <si>
    <t xml:space="preserve">72001099</t>
  </si>
  <si>
    <t xml:space="preserve">2070705</t>
  </si>
  <si>
    <t xml:space="preserve">LPB  MND LAG AVUL COMPX A</t>
  </si>
  <si>
    <t xml:space="preserve">72001098</t>
  </si>
  <si>
    <t xml:space="preserve">2060601</t>
  </si>
  <si>
    <t xml:space="preserve">2060602</t>
  </si>
  <si>
    <t xml:space="preserve">2070401</t>
  </si>
  <si>
    <t xml:space="preserve">2070402</t>
  </si>
  <si>
    <t xml:space="preserve">2070701</t>
  </si>
  <si>
    <t xml:space="preserve">2070702</t>
  </si>
  <si>
    <t xml:space="preserve">2190301</t>
  </si>
  <si>
    <t xml:space="preserve">2190302</t>
  </si>
  <si>
    <t xml:space="preserve">2190601</t>
  </si>
  <si>
    <t xml:space="preserve">2190101</t>
  </si>
  <si>
    <t xml:space="preserve">impresso mostra mesmo N.Preço da linha seguinte — conferir (provável 72000043)</t>
  </si>
  <si>
    <t xml:space="preserve">2190102</t>
  </si>
  <si>
    <t xml:space="preserve">2190103</t>
  </si>
  <si>
    <t xml:space="preserve">2190104</t>
  </si>
  <si>
    <t xml:space="preserve">2190105</t>
  </si>
  <si>
    <t xml:space="preserve">2190201</t>
  </si>
  <si>
    <t xml:space="preserve">2190202</t>
  </si>
  <si>
    <t xml:space="preserve">2190203</t>
  </si>
  <si>
    <t xml:space="preserve">2190204</t>
  </si>
  <si>
    <t xml:space="preserve">2190205</t>
  </si>
  <si>
    <t xml:space="preserve">2190602</t>
  </si>
  <si>
    <t xml:space="preserve">2190303</t>
  </si>
  <si>
    <t xml:space="preserve">2190304</t>
  </si>
  <si>
    <t xml:space="preserve">LPB  TA TRA CORR COMPX B</t>
  </si>
  <si>
    <t xml:space="preserve">72001182</t>
  </si>
  <si>
    <t xml:space="preserve">2190305</t>
  </si>
  <si>
    <t xml:space="preserve">LPB  TA TRA CORR COMPX A</t>
  </si>
  <si>
    <t xml:space="preserve">72001181</t>
  </si>
  <si>
    <t xml:space="preserve">2190309</t>
  </si>
  <si>
    <t xml:space="preserve">2190310</t>
  </si>
  <si>
    <t xml:space="preserve">LPB  EX TRA CORR COMPX B</t>
  </si>
  <si>
    <t xml:space="preserve">72001084</t>
  </si>
  <si>
    <t xml:space="preserve">2190311</t>
  </si>
  <si>
    <t xml:space="preserve">LPB  EX TRA CORR COMPX A</t>
  </si>
  <si>
    <t xml:space="preserve">72001083</t>
  </si>
  <si>
    <t xml:space="preserve">2190315</t>
  </si>
  <si>
    <t xml:space="preserve">2190316</t>
  </si>
  <si>
    <t xml:space="preserve">LPB  TO TRA CORR COMPX B</t>
  </si>
  <si>
    <t xml:space="preserve">72001212</t>
  </si>
  <si>
    <t xml:space="preserve">2190317</t>
  </si>
  <si>
    <t xml:space="preserve">LPB  TO TRA CORR COMPX A</t>
  </si>
  <si>
    <t xml:space="preserve">72001211</t>
  </si>
  <si>
    <t xml:space="preserve">2190401</t>
  </si>
  <si>
    <t xml:space="preserve">2190402</t>
  </si>
  <si>
    <t xml:space="preserve">2190403</t>
  </si>
  <si>
    <t xml:space="preserve">2190404</t>
  </si>
  <si>
    <t xml:space="preserve">2190405</t>
  </si>
  <si>
    <t xml:space="preserve">2190501</t>
  </si>
  <si>
    <t xml:space="preserve">2190502</t>
  </si>
  <si>
    <t xml:space="preserve">2190503</t>
  </si>
  <si>
    <t xml:space="preserve">2190504</t>
  </si>
  <si>
    <t xml:space="preserve">2190505</t>
  </si>
  <si>
    <t xml:space="preserve">2190901</t>
  </si>
  <si>
    <t xml:space="preserve">2190603</t>
  </si>
  <si>
    <t xml:space="preserve">2190604</t>
  </si>
  <si>
    <t xml:space="preserve">LPB ASF  TA TRA PREV COMPX B</t>
  </si>
  <si>
    <t xml:space="preserve">72001194</t>
  </si>
  <si>
    <t xml:space="preserve">2190605</t>
  </si>
  <si>
    <t xml:space="preserve">LPB  TA TRA PREV COMPX A</t>
  </si>
  <si>
    <t xml:space="preserve">72001193</t>
  </si>
  <si>
    <t xml:space="preserve">2190609</t>
  </si>
  <si>
    <t xml:space="preserve">2190610</t>
  </si>
  <si>
    <t xml:space="preserve">LPB  EX TRA PREV COMPX B</t>
  </si>
  <si>
    <t xml:space="preserve">72001096</t>
  </si>
  <si>
    <t xml:space="preserve">2190611</t>
  </si>
  <si>
    <t xml:space="preserve">LPB  EX TRA PREV COMPX A</t>
  </si>
  <si>
    <t xml:space="preserve">72001095</t>
  </si>
  <si>
    <t xml:space="preserve">2190615</t>
  </si>
  <si>
    <t xml:space="preserve">2190616</t>
  </si>
  <si>
    <t xml:space="preserve">LPB  TO TRA PREV COMPX B</t>
  </si>
  <si>
    <t xml:space="preserve">72001224</t>
  </si>
  <si>
    <t xml:space="preserve">2190617</t>
  </si>
  <si>
    <t xml:space="preserve">LPB  TO TRA PREV COMPX A</t>
  </si>
  <si>
    <t xml:space="preserve">72001223</t>
  </si>
  <si>
    <t xml:space="preserve">2190701</t>
  </si>
  <si>
    <t xml:space="preserve">2190801</t>
  </si>
  <si>
    <t xml:space="preserve">2190902</t>
  </si>
  <si>
    <t xml:space="preserve">2190903</t>
  </si>
  <si>
    <t xml:space="preserve">2190904</t>
  </si>
  <si>
    <t xml:space="preserve">LPB  MND TRA CORR COMPX B</t>
  </si>
  <si>
    <t xml:space="preserve">72001107</t>
  </si>
  <si>
    <t xml:space="preserve">2190905</t>
  </si>
  <si>
    <t xml:space="preserve">LPB  MND TRA CORR COMPX A</t>
  </si>
  <si>
    <t xml:space="preserve">72001106</t>
  </si>
  <si>
    <t xml:space="preserve">2191001</t>
  </si>
  <si>
    <t xml:space="preserve">2191101</t>
  </si>
  <si>
    <t xml:space="preserve">2191401</t>
  </si>
  <si>
    <t xml:space="preserve">2191403</t>
  </si>
  <si>
    <t xml:space="preserve">2191404</t>
  </si>
  <si>
    <t xml:space="preserve">LPB  MND TRA PREV COMPX B</t>
  </si>
  <si>
    <t xml:space="preserve">72001110</t>
  </si>
  <si>
    <t xml:space="preserve">2191405</t>
  </si>
  <si>
    <t xml:space="preserve">LPB  MND TRA PREV COMPX A</t>
  </si>
  <si>
    <t xml:space="preserve">72001109</t>
  </si>
  <si>
    <t xml:space="preserve">2080104</t>
  </si>
  <si>
    <t xml:space="preserve">2080105</t>
  </si>
  <si>
    <t xml:space="preserve">2191201</t>
  </si>
  <si>
    <t xml:space="preserve">ADC  SUBST TMD AG   SF</t>
  </si>
  <si>
    <t xml:space="preserve">2191302</t>
  </si>
  <si>
    <t xml:space="preserve">2070902</t>
  </si>
  <si>
    <t xml:space="preserve">2070904</t>
  </si>
  <si>
    <t xml:space="preserve">2070905</t>
  </si>
  <si>
    <t xml:space="preserve">1050101</t>
  </si>
  <si>
    <t xml:space="preserve">ARR PVC 50 A 100  S/REP  SF</t>
  </si>
  <si>
    <t xml:space="preserve">72000300</t>
  </si>
  <si>
    <t xml:space="preserve">1050102</t>
  </si>
  <si>
    <t xml:space="preserve">ARR FF 50 A 100  S/REP  SF</t>
  </si>
  <si>
    <t xml:space="preserve">72000269</t>
  </si>
  <si>
    <t xml:space="preserve">1050207</t>
  </si>
  <si>
    <t xml:space="preserve">LPB 50 A 100  ARR COMPX C</t>
  </si>
  <si>
    <t xml:space="preserve">72001138</t>
  </si>
  <si>
    <t xml:space="preserve">1050201</t>
  </si>
  <si>
    <t xml:space="preserve">LRP CIM 50 A 100  ARR</t>
  </si>
  <si>
    <t xml:space="preserve">72000305</t>
  </si>
  <si>
    <t xml:space="preserve">1050204</t>
  </si>
  <si>
    <t xml:space="preserve">LRP ESP 50 A 100  ARR</t>
  </si>
  <si>
    <t xml:space="preserve">72000308</t>
  </si>
  <si>
    <t xml:space="preserve">1030505</t>
  </si>
  <si>
    <t xml:space="preserve">LPB SUPR RELIG AG COMPX A</t>
  </si>
  <si>
    <t xml:space="preserve">72001154</t>
  </si>
  <si>
    <t xml:space="preserve">1030504</t>
  </si>
  <si>
    <t xml:space="preserve">LPB SUPR RELIG AG COMPX B</t>
  </si>
  <si>
    <t xml:space="preserve">72001155</t>
  </si>
  <si>
    <t xml:space="preserve">1030503</t>
  </si>
  <si>
    <t xml:space="preserve">LPB SUPR RELIG AG COMPX C</t>
  </si>
  <si>
    <t xml:space="preserve">72001156</t>
  </si>
  <si>
    <t xml:space="preserve">2191402</t>
  </si>
  <si>
    <t xml:space="preserve">1030404</t>
  </si>
  <si>
    <t xml:space="preserve">RELIG  CV AG</t>
  </si>
  <si>
    <t xml:space="preserve">72000245</t>
  </si>
  <si>
    <t xml:space="preserve">1030405</t>
  </si>
  <si>
    <t xml:space="preserve">RELIG  CV AG  PT</t>
  </si>
  <si>
    <t xml:space="preserve">72000251</t>
  </si>
  <si>
    <t xml:space="preserve">1030303</t>
  </si>
  <si>
    <t xml:space="preserve">RELIG  RAMAL AG  PT S/REP SF</t>
  </si>
  <si>
    <t xml:space="preserve">72000249</t>
  </si>
  <si>
    <t xml:space="preserve">1030407</t>
  </si>
  <si>
    <t xml:space="preserve">RELIG  TMD AG   S/REP</t>
  </si>
  <si>
    <t xml:space="preserve">72000248</t>
  </si>
  <si>
    <t xml:space="preserve">1030304</t>
  </si>
  <si>
    <t xml:space="preserve">RELIG  TMD AG  PT S/REP SF</t>
  </si>
  <si>
    <t xml:space="preserve">72000250</t>
  </si>
  <si>
    <t xml:space="preserve">1030406</t>
  </si>
  <si>
    <t xml:space="preserve">RELIG RAMAL AG  S/ REP</t>
  </si>
  <si>
    <t xml:space="preserve">72001164</t>
  </si>
  <si>
    <t xml:space="preserve">1030409</t>
  </si>
  <si>
    <t xml:space="preserve">ADC  SUPR TMD AG  S/REP</t>
  </si>
  <si>
    <t xml:space="preserve">72000243</t>
  </si>
  <si>
    <t xml:space="preserve">1030408</t>
  </si>
  <si>
    <t xml:space="preserve">ADIC CORTE SUPR CAVALETE</t>
  </si>
  <si>
    <t xml:space="preserve">500001</t>
  </si>
  <si>
    <t xml:space="preserve">1030401</t>
  </si>
  <si>
    <t xml:space="preserve">SUPR  CV</t>
  </si>
  <si>
    <t xml:space="preserve">72000240</t>
  </si>
  <si>
    <t xml:space="preserve">1030403</t>
  </si>
  <si>
    <t xml:space="preserve">SUPR  RAMAL AG  S/REP</t>
  </si>
  <si>
    <t xml:space="preserve">72000242</t>
  </si>
  <si>
    <t xml:space="preserve">1030302</t>
  </si>
  <si>
    <t xml:space="preserve">SUPR  RAMAL AG  S/REP  SF</t>
  </si>
  <si>
    <t xml:space="preserve">72000239</t>
  </si>
  <si>
    <t xml:space="preserve">1030402</t>
  </si>
  <si>
    <t xml:space="preserve">SUPR  TMD AG  S/REP</t>
  </si>
  <si>
    <t xml:space="preserve">72000241</t>
  </si>
  <si>
    <t xml:space="preserve">1030301</t>
  </si>
  <si>
    <t xml:space="preserve">SUPR  TMD AG  S/REP  SF</t>
  </si>
  <si>
    <t xml:space="preserve">72000238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</si>
</sst>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R$ &quot;#,##0;[RED]&quot;-R$ &quot;#,##0"/>
    <numFmt numFmtId="166" formatCode="dd/mm/yy"/>
    <numFmt numFmtId="167" formatCode="0"/>
    <numFmt numFmtId="168" formatCode="0.0%"/>
    <numFmt numFmtId="169" formatCode="&quot;R$ &quot;#,##0.00;[RED]&quot;-R$ &quot;#,##0.00"/>
    <numFmt numFmtId="170" formatCode="&quot;R$ &quot;#,##0.00;[RED]&quot;-R$ &quot;#,##0.00"/>
    <numFmt numFmtId="171" formatCode="#,##0.0"/>
    <numFmt numFmtId="172" formatCode="&quot;R$ &quot;#,##0;[RED]&quot;-R$ &quot;#,##0"/>
    <numFmt numFmtId="173" formatCode="mmm/yy"/>
    <numFmt numFmtId="174" formatCode="mmm\-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CE6F1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3" activePane="bottomLeft" state="frozen"/>
      <selection pane="topLeft" activeCell="A1" activeCellId="0" sqref="A1"/>
      <selection pane="bottomLeft" activeCell="C20" activeCellId="0" sqref="C2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  <col collapsed="false" customWidth="true" hidden="false" outlineLevel="0" max="3" min="3" style="0" width="18"/>
  </cols>
  <sheetData>
    <row r="2" customFormat="false" ht="24" hidden="false" customHeight="tru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3"/>
    </row>
    <row r="6" customFormat="false" ht="25.5" hidden="false" customHeight="true" outlineLevel="0" collapsed="false">
      <c r="B6" s="4" t="s">
        <v>3</v>
      </c>
    </row>
    <row r="7" customFormat="false" ht="25.5" hidden="false" customHeight="true" outlineLevel="0" collapsed="false">
      <c r="B7" s="4" t="s">
        <v>4</v>
      </c>
    </row>
    <row r="8" customFormat="false" ht="25.5" hidden="false" customHeight="true" outlineLevel="0" collapsed="false">
      <c r="B8" s="4" t="s">
        <v>5</v>
      </c>
    </row>
    <row r="9" customFormat="false" ht="25.5" hidden="false" customHeight="true" outlineLevel="0" collapsed="false">
      <c r="B9" s="4" t="s">
        <v>6</v>
      </c>
    </row>
    <row r="10" customFormat="false" ht="25.5" hidden="false" customHeight="true" outlineLevel="0" collapsed="false">
      <c r="B10" s="4" t="s">
        <v>7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3" t="s">
        <v>8</v>
      </c>
      <c r="C12" s="3"/>
    </row>
    <row r="13" customFormat="false" ht="25.5" hidden="false" customHeight="true" outlineLevel="0" collapsed="false">
      <c r="B13" s="4" t="s">
        <v>9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3" t="s">
        <v>10</v>
      </c>
      <c r="C15" s="3"/>
    </row>
    <row r="16" customFormat="false" ht="15" hidden="false" customHeight="false" outlineLevel="0" collapsed="false">
      <c r="B16" s="4" t="s">
        <v>11</v>
      </c>
      <c r="C16" s="5" t="n">
        <f aca="false">PREMISSAS!$C$61</f>
        <v>466854.32</v>
      </c>
    </row>
    <row r="17" customFormat="false" ht="15" hidden="false" customHeight="false" outlineLevel="0" collapsed="false">
      <c r="B17" s="4" t="s">
        <v>12</v>
      </c>
      <c r="C17" s="5" t="n">
        <f aca="false">PREMISSAS!$C$56</f>
        <v>40000</v>
      </c>
    </row>
    <row r="18" customFormat="false" ht="15" hidden="false" customHeight="false" outlineLevel="0" collapsed="false">
      <c r="B18" s="4" t="s">
        <v>13</v>
      </c>
      <c r="C18" s="5" t="n">
        <f aca="false">ECONÔMICO!R17</f>
        <v>1172835.224</v>
      </c>
    </row>
    <row r="19" customFormat="false" ht="15" hidden="false" customHeight="false" outlineLevel="0" collapsed="false">
      <c r="B19" s="4" t="s">
        <v>14</v>
      </c>
      <c r="C19" s="5" t="n">
        <f aca="false">'FCP SEMANAL'!C42</f>
        <v>-138227.9504</v>
      </c>
    </row>
    <row r="20" customFormat="false" ht="15" hidden="false" customHeight="false" outlineLevel="0" collapsed="false">
      <c r="B20" s="6" t="s">
        <v>15</v>
      </c>
      <c r="C20" s="5" t="n">
        <f aca="false">'FCP MENSAL'!C44</f>
        <v>204962.14296</v>
      </c>
    </row>
    <row r="21" customFormat="false" ht="15" hidden="false" customHeight="false" outlineLevel="0" collapsed="false">
      <c r="B21" s="4"/>
    </row>
    <row r="22" customFormat="false" ht="15" hidden="false" customHeight="false" outlineLevel="0" collapsed="false">
      <c r="B22" s="3" t="s">
        <v>16</v>
      </c>
      <c r="C22" s="3"/>
    </row>
    <row r="23" customFormat="false" ht="25.5" hidden="false" customHeight="true" outlineLevel="0" collapsed="false">
      <c r="B23" s="4" t="s">
        <v>17</v>
      </c>
    </row>
    <row r="24" customFormat="false" ht="25.5" hidden="false" customHeight="true" outlineLevel="0" collapsed="false">
      <c r="B24" s="4" t="s">
        <v>18</v>
      </c>
    </row>
    <row r="25" customFormat="false" ht="25.5" hidden="false" customHeight="true" outlineLevel="0" collapsed="false">
      <c r="B25" s="4" t="s">
        <v>19</v>
      </c>
    </row>
    <row r="26" customFormat="false" ht="25.5" hidden="false" customHeight="true" outlineLevel="0" collapsed="false">
      <c r="B26" s="4" t="s">
        <v>20</v>
      </c>
    </row>
    <row r="27" customFormat="false" ht="15" hidden="false" customHeight="false" outlineLevel="0" collapsed="false">
      <c r="B27" s="4" t="s">
        <v>21</v>
      </c>
    </row>
    <row r="28" customFormat="false" ht="25.5" hidden="false" customHeight="true" outlineLevel="0" collapsed="false">
      <c r="B28" s="4" t="s">
        <v>22</v>
      </c>
    </row>
    <row r="29" customFormat="false" ht="35.05" hidden="false" customHeight="false" outlineLevel="0" collapsed="false">
      <c r="B29" s="4" t="s">
        <v>23</v>
      </c>
    </row>
    <row r="30" customFormat="false" ht="23.85" hidden="false" customHeight="false" outlineLevel="0" collapsed="false">
      <c r="B30" s="4" t="s">
        <v>24</v>
      </c>
    </row>
  </sheetData>
  <mergeCells count="6">
    <mergeCell ref="B2:C2"/>
    <mergeCell ref="B3:C3"/>
    <mergeCell ref="B5:C5"/>
    <mergeCell ref="B12:C12"/>
    <mergeCell ref="B15:C15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80"/>
  </cols>
  <sheetData>
    <row r="2" customFormat="false" ht="24" hidden="false" customHeight="true" outlineLevel="0" collapsed="false">
      <c r="B2" s="1" t="s">
        <v>25</v>
      </c>
      <c r="C2" s="1"/>
      <c r="D2" s="1"/>
      <c r="E2" s="1"/>
    </row>
    <row r="3" customFormat="false" ht="15" hidden="false" customHeight="false" outlineLevel="0" collapsed="false">
      <c r="B3" s="2" t="s">
        <v>26</v>
      </c>
      <c r="C3" s="2"/>
      <c r="D3" s="2"/>
      <c r="E3" s="2"/>
    </row>
    <row r="5" customFormat="false" ht="15" hidden="false" customHeight="false" outlineLevel="0" collapsed="false">
      <c r="B5" s="3" t="s">
        <v>27</v>
      </c>
      <c r="C5" s="3"/>
      <c r="D5" s="3"/>
      <c r="E5" s="3"/>
    </row>
    <row r="6" customFormat="false" ht="15" hidden="false" customHeight="false" outlineLevel="0" collapsed="false">
      <c r="B6" s="7" t="s">
        <v>28</v>
      </c>
      <c r="C6" s="8" t="n">
        <v>46258</v>
      </c>
      <c r="D6" s="9" t="s">
        <v>29</v>
      </c>
      <c r="E6" s="10" t="s">
        <v>30</v>
      </c>
    </row>
    <row r="7" customFormat="false" ht="15" hidden="false" customHeight="false" outlineLevel="0" collapsed="false">
      <c r="B7" s="7" t="s">
        <v>31</v>
      </c>
      <c r="C7" s="8" t="n">
        <v>46599</v>
      </c>
      <c r="D7" s="9" t="s">
        <v>29</v>
      </c>
      <c r="E7" s="10" t="s">
        <v>32</v>
      </c>
    </row>
    <row r="8" customFormat="false" ht="15" hidden="false" customHeight="false" outlineLevel="0" collapsed="false">
      <c r="B8" s="7" t="s">
        <v>33</v>
      </c>
      <c r="C8" s="11" t="n">
        <v>30</v>
      </c>
      <c r="D8" s="9" t="s">
        <v>34</v>
      </c>
      <c r="E8" s="10" t="s">
        <v>35</v>
      </c>
    </row>
    <row r="9" customFormat="false" ht="22.5" hidden="false" customHeight="true" outlineLevel="0" collapsed="false">
      <c r="B9" s="7" t="s">
        <v>36</v>
      </c>
      <c r="C9" s="12" t="n">
        <v>20</v>
      </c>
      <c r="D9" s="9" t="s">
        <v>34</v>
      </c>
      <c r="E9" s="10" t="s">
        <v>37</v>
      </c>
    </row>
    <row r="10" customFormat="false" ht="22.5" hidden="false" customHeight="true" outlineLevel="0" collapsed="false">
      <c r="B10" s="7" t="s">
        <v>38</v>
      </c>
      <c r="C10" s="13" t="n">
        <v>0.22</v>
      </c>
      <c r="D10" s="9" t="s">
        <v>39</v>
      </c>
      <c r="E10" s="10" t="s">
        <v>40</v>
      </c>
    </row>
    <row r="12" customFormat="false" ht="15" hidden="false" customHeight="false" outlineLevel="0" collapsed="false">
      <c r="B12" s="3" t="s">
        <v>41</v>
      </c>
      <c r="C12" s="3"/>
      <c r="D12" s="3"/>
      <c r="E12" s="3"/>
    </row>
    <row r="13" customFormat="false" ht="22.5" hidden="false" customHeight="true" outlineLevel="0" collapsed="false">
      <c r="B13" s="7" t="s">
        <v>42</v>
      </c>
      <c r="C13" s="14" t="s">
        <v>43</v>
      </c>
      <c r="D13" s="9" t="s">
        <v>44</v>
      </c>
      <c r="E13" s="10" t="s">
        <v>45</v>
      </c>
    </row>
    <row r="14" customFormat="false" ht="15" hidden="false" customHeight="false" outlineLevel="0" collapsed="false">
      <c r="A14" s="15" t="s">
        <v>46</v>
      </c>
      <c r="B14" s="7" t="s">
        <v>47</v>
      </c>
      <c r="C14" s="16" t="n">
        <v>0</v>
      </c>
      <c r="D14" s="9" t="s">
        <v>39</v>
      </c>
      <c r="E14" s="10" t="s">
        <v>48</v>
      </c>
    </row>
    <row r="15" customFormat="false" ht="15" hidden="false" customHeight="false" outlineLevel="0" collapsed="false">
      <c r="A15" s="15" t="s">
        <v>49</v>
      </c>
      <c r="B15" s="7" t="s">
        <v>50</v>
      </c>
      <c r="C15" s="16" t="n">
        <v>0.1</v>
      </c>
      <c r="D15" s="9" t="s">
        <v>39</v>
      </c>
      <c r="E15" s="10" t="s">
        <v>51</v>
      </c>
    </row>
    <row r="16" customFormat="false" ht="15" hidden="false" customHeight="false" outlineLevel="0" collapsed="false">
      <c r="A16" s="15" t="s">
        <v>52</v>
      </c>
      <c r="B16" s="7" t="s">
        <v>53</v>
      </c>
      <c r="C16" s="16" t="n">
        <v>0.15</v>
      </c>
      <c r="D16" s="9" t="s">
        <v>39</v>
      </c>
      <c r="E16" s="10" t="s">
        <v>54</v>
      </c>
    </row>
    <row r="17" customFormat="false" ht="15" hidden="false" customHeight="false" outlineLevel="0" collapsed="false">
      <c r="A17" s="15" t="s">
        <v>43</v>
      </c>
      <c r="B17" s="7" t="s">
        <v>55</v>
      </c>
      <c r="C17" s="16" t="n">
        <v>0.2</v>
      </c>
      <c r="D17" s="9" t="s">
        <v>39</v>
      </c>
      <c r="E17" s="10" t="s">
        <v>56</v>
      </c>
    </row>
    <row r="18" customFormat="false" ht="15" hidden="false" customHeight="false" outlineLevel="0" collapsed="false">
      <c r="B18" s="7" t="s">
        <v>57</v>
      </c>
      <c r="C18" s="17" t="n">
        <f aca="false">INDEX(C14:C17,MATCH(C13,A14:A17,0))</f>
        <v>0.2</v>
      </c>
      <c r="D18" s="9" t="s">
        <v>39</v>
      </c>
      <c r="E18" s="10" t="s">
        <v>58</v>
      </c>
    </row>
    <row r="20" customFormat="false" ht="15" hidden="false" customHeight="false" outlineLevel="0" collapsed="false">
      <c r="B20" s="3" t="s">
        <v>59</v>
      </c>
      <c r="C20" s="3"/>
      <c r="D20" s="3"/>
      <c r="E20" s="3"/>
    </row>
    <row r="21" customFormat="false" ht="15" hidden="false" customHeight="false" outlineLevel="0" collapsed="false">
      <c r="B21" s="7" t="s">
        <v>60</v>
      </c>
      <c r="C21" s="18" t="n">
        <v>881.2</v>
      </c>
      <c r="D21" s="9" t="s">
        <v>61</v>
      </c>
      <c r="E21" s="10" t="s">
        <v>62</v>
      </c>
    </row>
    <row r="22" customFormat="false" ht="15" hidden="false" customHeight="false" outlineLevel="0" collapsed="false">
      <c r="B22" s="7" t="s">
        <v>63</v>
      </c>
      <c r="C22" s="19" t="n">
        <v>821.25</v>
      </c>
      <c r="D22" s="9" t="s">
        <v>61</v>
      </c>
      <c r="E22" s="10" t="s">
        <v>64</v>
      </c>
    </row>
    <row r="23" customFormat="false" ht="15" hidden="false" customHeight="false" outlineLevel="0" collapsed="false">
      <c r="B23" s="7" t="s">
        <v>65</v>
      </c>
      <c r="C23" s="19" t="n">
        <v>1856.4</v>
      </c>
      <c r="D23" s="9" t="s">
        <v>61</v>
      </c>
      <c r="E23" s="10" t="s">
        <v>66</v>
      </c>
    </row>
    <row r="24" customFormat="false" ht="15" hidden="false" customHeight="false" outlineLevel="0" collapsed="false">
      <c r="B24" s="7" t="s">
        <v>67</v>
      </c>
      <c r="C24" s="13" t="n">
        <v>0.5</v>
      </c>
      <c r="D24" s="9" t="s">
        <v>39</v>
      </c>
      <c r="E24" s="10" t="s">
        <v>68</v>
      </c>
    </row>
    <row r="25" customFormat="false" ht="15" hidden="false" customHeight="false" outlineLevel="0" collapsed="false">
      <c r="B25" s="7" t="s">
        <v>69</v>
      </c>
      <c r="C25" s="20" t="n">
        <f aca="false">C23*C24+C22*(1-C24)</f>
        <v>1338.825</v>
      </c>
      <c r="D25" s="9" t="s">
        <v>61</v>
      </c>
      <c r="E25" s="10" t="s">
        <v>58</v>
      </c>
    </row>
    <row r="27" customFormat="false" ht="15" hidden="false" customHeight="false" outlineLevel="0" collapsed="false">
      <c r="B27" s="3" t="s">
        <v>70</v>
      </c>
      <c r="C27" s="3"/>
      <c r="D27" s="3"/>
      <c r="E27" s="3"/>
    </row>
    <row r="28" customFormat="false" ht="15" hidden="false" customHeight="false" outlineLevel="0" collapsed="false">
      <c r="B28" s="7" t="s">
        <v>71</v>
      </c>
      <c r="C28" s="21" t="n">
        <f aca="false">'CUSTOS BERTIOGA'!F36</f>
        <v>237292.84</v>
      </c>
      <c r="D28" s="9" t="s">
        <v>72</v>
      </c>
      <c r="E28" s="10" t="s">
        <v>73</v>
      </c>
    </row>
    <row r="29" customFormat="false" ht="15" hidden="false" customHeight="false" outlineLevel="0" collapsed="false">
      <c r="B29" s="7" t="s">
        <v>74</v>
      </c>
      <c r="C29" s="21" t="n">
        <f aca="false">'CUSTOS SANTOS'!F37</f>
        <v>269561.48</v>
      </c>
      <c r="D29" s="9" t="s">
        <v>72</v>
      </c>
      <c r="E29" s="10" t="s">
        <v>75</v>
      </c>
    </row>
    <row r="30" customFormat="false" ht="15" hidden="false" customHeight="false" outlineLevel="0" collapsed="false">
      <c r="B30" s="7" t="s">
        <v>76</v>
      </c>
      <c r="C30" s="20" t="n">
        <f aca="false">C28+C29</f>
        <v>506854.32</v>
      </c>
      <c r="D30" s="9" t="s">
        <v>72</v>
      </c>
      <c r="E30" s="10"/>
    </row>
    <row r="32" customFormat="false" ht="15" hidden="false" customHeight="false" outlineLevel="0" collapsed="false">
      <c r="B32" s="3" t="s">
        <v>77</v>
      </c>
      <c r="C32" s="3"/>
      <c r="D32" s="3"/>
      <c r="E32" s="3"/>
    </row>
    <row r="33" customFormat="false" ht="22.5" hidden="false" customHeight="true" outlineLevel="0" collapsed="false">
      <c r="B33" s="7" t="s">
        <v>78</v>
      </c>
      <c r="C33" s="19" t="n">
        <v>13360</v>
      </c>
      <c r="D33" s="9" t="s">
        <v>79</v>
      </c>
      <c r="E33" s="10" t="s">
        <v>80</v>
      </c>
    </row>
    <row r="34" customFormat="false" ht="15" hidden="false" customHeight="false" outlineLevel="0" collapsed="false">
      <c r="B34" s="7" t="s">
        <v>81</v>
      </c>
      <c r="C34" s="19" t="n">
        <v>13360</v>
      </c>
      <c r="D34" s="9" t="s">
        <v>79</v>
      </c>
      <c r="E34" s="10" t="s">
        <v>82</v>
      </c>
    </row>
    <row r="35" customFormat="false" ht="15" hidden="false" customHeight="false" outlineLevel="0" collapsed="false">
      <c r="B35" s="7" t="s">
        <v>83</v>
      </c>
      <c r="C35" s="20" t="n">
        <f aca="false">SUM(C33:C34)</f>
        <v>26720</v>
      </c>
      <c r="D35" s="9" t="s">
        <v>79</v>
      </c>
      <c r="E35" s="10"/>
    </row>
    <row r="37" customFormat="false" ht="15" hidden="false" customHeight="false" outlineLevel="0" collapsed="false">
      <c r="B37" s="3" t="s">
        <v>84</v>
      </c>
      <c r="C37" s="3"/>
      <c r="D37" s="3"/>
      <c r="E37" s="3"/>
    </row>
    <row r="38" customFormat="false" ht="15" hidden="false" customHeight="false" outlineLevel="0" collapsed="false">
      <c r="B38" s="7" t="s">
        <v>85</v>
      </c>
      <c r="C38" s="16" t="n">
        <v>0.15</v>
      </c>
      <c r="D38" s="9" t="s">
        <v>39</v>
      </c>
      <c r="E38" s="10" t="s">
        <v>86</v>
      </c>
    </row>
    <row r="39" customFormat="false" ht="15" hidden="false" customHeight="false" outlineLevel="0" collapsed="false">
      <c r="B39" s="7" t="s">
        <v>87</v>
      </c>
      <c r="C39" s="13" t="n">
        <v>0.5</v>
      </c>
      <c r="D39" s="9" t="s">
        <v>39</v>
      </c>
      <c r="E39" s="10" t="s">
        <v>88</v>
      </c>
    </row>
    <row r="41" customFormat="false" ht="15" hidden="false" customHeight="false" outlineLevel="0" collapsed="false">
      <c r="B41" s="3" t="s">
        <v>89</v>
      </c>
      <c r="C41" s="3"/>
      <c r="D41" s="3"/>
      <c r="E41" s="3"/>
    </row>
    <row r="42" customFormat="false" ht="15" hidden="false" customHeight="false" outlineLevel="0" collapsed="false">
      <c r="B42" s="7" t="s">
        <v>90</v>
      </c>
      <c r="C42" s="14" t="s">
        <v>91</v>
      </c>
      <c r="E42" s="10" t="s">
        <v>92</v>
      </c>
    </row>
    <row r="43" customFormat="false" ht="15" hidden="false" customHeight="false" outlineLevel="0" collapsed="false">
      <c r="B43" s="7" t="s">
        <v>93</v>
      </c>
      <c r="C43" s="14" t="s">
        <v>91</v>
      </c>
      <c r="E43" s="10" t="s">
        <v>94</v>
      </c>
    </row>
    <row r="44" customFormat="false" ht="15" hidden="false" customHeight="false" outlineLevel="0" collapsed="false">
      <c r="B44" s="7" t="s">
        <v>95</v>
      </c>
      <c r="C44" s="14" t="s">
        <v>91</v>
      </c>
      <c r="E44" s="10" t="s">
        <v>96</v>
      </c>
    </row>
    <row r="45" customFormat="false" ht="15" hidden="false" customHeight="false" outlineLevel="0" collapsed="false">
      <c r="B45" s="7" t="s">
        <v>97</v>
      </c>
      <c r="C45" s="14" t="s">
        <v>98</v>
      </c>
      <c r="E45" s="10" t="s">
        <v>99</v>
      </c>
    </row>
    <row r="46" customFormat="false" ht="15" hidden="false" customHeight="false" outlineLevel="0" collapsed="false">
      <c r="B46" s="7" t="s">
        <v>100</v>
      </c>
      <c r="C46" s="14" t="s">
        <v>91</v>
      </c>
      <c r="E46" s="10" t="s">
        <v>101</v>
      </c>
    </row>
    <row r="47" customFormat="false" ht="15" hidden="false" customHeight="false" outlineLevel="0" collapsed="false">
      <c r="B47" s="7" t="s">
        <v>102</v>
      </c>
      <c r="C47" s="14" t="s">
        <v>103</v>
      </c>
      <c r="E47" s="10" t="s">
        <v>104</v>
      </c>
    </row>
    <row r="48" customFormat="false" ht="19.4" hidden="false" customHeight="false" outlineLevel="0" collapsed="false">
      <c r="B48" s="7" t="s">
        <v>105</v>
      </c>
      <c r="C48" s="14" t="s">
        <v>106</v>
      </c>
      <c r="E48" s="10" t="s">
        <v>107</v>
      </c>
    </row>
    <row r="50" customFormat="false" ht="15" hidden="false" customHeight="false" outlineLevel="0" collapsed="false">
      <c r="B50" s="3" t="s">
        <v>108</v>
      </c>
      <c r="C50" s="3"/>
      <c r="D50" s="3"/>
      <c r="E50" s="3"/>
    </row>
    <row r="51" customFormat="false" ht="15" hidden="false" customHeight="false" outlineLevel="0" collapsed="false">
      <c r="B51" s="7" t="s">
        <v>109</v>
      </c>
      <c r="C51" s="22" t="n">
        <f aca="false">IF(C42="CONSÓRCIO",'CUSTOS BERTIOGA'!$H$22,0)+IF(C43="CONSÓRCIO",'CUSTOS BERTIOGA'!$F$26,0)+IF(C44="CONSÓRCIO",($C$28-'CUSTOS BERTIOGA'!$H$22-'CUSTOS BERTIOGA'!$F$26-'CUSTOS BERTIOGA'!$F$34),0)+IF(C45="CONSÓRCIO",'CUSTOS BERTIOGA'!$F$34,0)</f>
        <v>217292.84</v>
      </c>
    </row>
    <row r="52" customFormat="false" ht="15" hidden="false" customHeight="false" outlineLevel="0" collapsed="false">
      <c r="B52" s="7" t="s">
        <v>110</v>
      </c>
      <c r="C52" s="22" t="n">
        <f aca="false">IF(C42="CONSÓRCIO",'CUSTOS SANTOS'!$H$23,0)+IF(C43="CONSÓRCIO",'CUSTOS SANTOS'!$F$27,0)+IF(C44="CONSÓRCIO",($C$29-'CUSTOS SANTOS'!$H$23-'CUSTOS SANTOS'!$F$27-'CUSTOS SANTOS'!$F$35),0)+IF(C45="CONSÓRCIO",'CUSTOS SANTOS'!$F$35,0)</f>
        <v>249561.48</v>
      </c>
    </row>
    <row r="53" customFormat="false" ht="15" hidden="false" customHeight="false" outlineLevel="0" collapsed="false">
      <c r="B53" s="7" t="s">
        <v>111</v>
      </c>
      <c r="C53" s="23" t="n">
        <f aca="false">C51+C52</f>
        <v>466854.32</v>
      </c>
    </row>
    <row r="54" customFormat="false" ht="15" hidden="false" customHeight="false" outlineLevel="0" collapsed="false">
      <c r="B54" s="7" t="s">
        <v>112</v>
      </c>
      <c r="C54" s="22" t="n">
        <f aca="false">C28-C51</f>
        <v>20000</v>
      </c>
    </row>
    <row r="55" customFormat="false" ht="15" hidden="false" customHeight="false" outlineLevel="0" collapsed="false">
      <c r="B55" s="7" t="s">
        <v>113</v>
      </c>
      <c r="C55" s="22" t="n">
        <f aca="false">C29-C52</f>
        <v>20000</v>
      </c>
    </row>
    <row r="56" customFormat="false" ht="15" hidden="false" customHeight="false" outlineLevel="0" collapsed="false">
      <c r="B56" s="7" t="s">
        <v>114</v>
      </c>
      <c r="C56" s="23" t="n">
        <f aca="false">C54+C55</f>
        <v>40000</v>
      </c>
    </row>
    <row r="57" customFormat="false" ht="15" hidden="false" customHeight="false" outlineLevel="0" collapsed="false">
      <c r="B57" s="7" t="s">
        <v>115</v>
      </c>
      <c r="C57" s="22" t="n">
        <f aca="false">IF(C46="WCR",C35,0)</f>
        <v>0</v>
      </c>
    </row>
    <row r="58" customFormat="false" ht="15" hidden="false" customHeight="false" outlineLevel="0" collapsed="false">
      <c r="B58" s="7" t="s">
        <v>116</v>
      </c>
      <c r="C58" s="22" t="n">
        <f aca="false">IF(AND(C46="CONSÓRCIO",C47="SIM"),C35,0)</f>
        <v>26720</v>
      </c>
      <c r="E58" s="10" t="s">
        <v>117</v>
      </c>
    </row>
    <row r="59" customFormat="false" ht="15" hidden="false" customHeight="false" outlineLevel="0" collapsed="false">
      <c r="B59" s="7" t="s">
        <v>118</v>
      </c>
      <c r="C59" s="22" t="n">
        <f aca="false">IF(C47="SIM",C51,0)</f>
        <v>217292.84</v>
      </c>
    </row>
    <row r="60" customFormat="false" ht="15" hidden="false" customHeight="false" outlineLevel="0" collapsed="false">
      <c r="B60" s="7" t="s">
        <v>119</v>
      </c>
      <c r="C60" s="22" t="n">
        <f aca="false">IF(C47="SIM",C52,0)</f>
        <v>249561.48</v>
      </c>
    </row>
    <row r="61" customFormat="false" ht="15" hidden="false" customHeight="false" outlineLevel="0" collapsed="false">
      <c r="B61" s="7" t="s">
        <v>120</v>
      </c>
      <c r="C61" s="23" t="n">
        <f aca="false">C59+C60</f>
        <v>466854.32</v>
      </c>
    </row>
  </sheetData>
  <mergeCells count="10">
    <mergeCell ref="B2:E2"/>
    <mergeCell ref="B3:E3"/>
    <mergeCell ref="B5:E5"/>
    <mergeCell ref="B12:E12"/>
    <mergeCell ref="B20:E20"/>
    <mergeCell ref="B27:E27"/>
    <mergeCell ref="B32:E32"/>
    <mergeCell ref="B37:E37"/>
    <mergeCell ref="B41:E41"/>
    <mergeCell ref="B50:E50"/>
  </mergeCells>
  <dataValidations count="8">
    <dataValidation allowBlank="false" errorStyle="stop" operator="between" showDropDown="false" showErrorMessage="false" showInputMessage="false" sqref="C13" type="list">
      <formula1>"MÍNIMA,MÉDIA,BOA,ÓTIMA"</formula1>
      <formula2>0</formula2>
    </dataValidation>
    <dataValidation allowBlank="false" errorStyle="stop" operator="between" showDropDown="false" showErrorMessage="false" showInputMessage="false" sqref="C42" type="list">
      <formula1>"CONSÓRCIO,WCR"</formula1>
      <formula2>0</formula2>
    </dataValidation>
    <dataValidation allowBlank="false" errorStyle="stop" operator="between" showDropDown="false" showErrorMessage="false" showInputMessage="false" sqref="C43" type="list">
      <formula1>"CONSÓRCIO,WCR"</formula1>
      <formula2>0</formula2>
    </dataValidation>
    <dataValidation allowBlank="false" errorStyle="stop" operator="between" showDropDown="false" showErrorMessage="false" showInputMessage="false" sqref="C44" type="list">
      <formula1>"CONSÓRCIO,WCR"</formula1>
      <formula2>0</formula2>
    </dataValidation>
    <dataValidation allowBlank="false" errorStyle="stop" operator="between" showDropDown="false" showErrorMessage="false" showInputMessage="false" sqref="C45" type="list">
      <formula1>"CONSÓRCIO,WCR"</formula1>
      <formula2>0</formula2>
    </dataValidation>
    <dataValidation allowBlank="false" errorStyle="stop" operator="between" showDropDown="false" showErrorMessage="false" showInputMessage="false" sqref="C46" type="list">
      <formula1>"CONSÓRCIO,WCR"</formula1>
      <formula2>0</formula2>
    </dataValidation>
    <dataValidation allowBlank="false" errorStyle="stop" operator="between" showDropDown="false" showErrorMessage="false" showInputMessage="false" sqref="C47" type="list">
      <formula1>"SIM,NÃO"</formula1>
      <formula2>0</formula2>
    </dataValidation>
    <dataValidation allowBlank="false" errorStyle="stop" operator="between" showDropDown="false" showErrorMessage="false" showInputMessage="false" sqref="C48" type="list">
      <formula1>"MEDIÇÃO CHEIA,LÍQUIDA DO DESCONTO"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H10" activePane="bottomRight" state="frozen"/>
      <selection pane="topLeft" activeCell="A1" activeCellId="0" sqref="A1"/>
      <selection pane="topRight" activeCell="H1" activeCellId="0" sqref="H1"/>
      <selection pane="bottomLeft" activeCell="A10" activeCellId="0" sqref="A10"/>
      <selection pane="bottomRight" activeCell="L47" activeCellId="0" sqref="L4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3.57"/>
    <col collapsed="false" customWidth="true" hidden="false" outlineLevel="0" max="3" min="3" style="0" width="12"/>
    <col collapsed="false" customWidth="true" hidden="false" outlineLevel="0" max="15" min="4" style="0" width="12.42"/>
    <col collapsed="false" customWidth="true" hidden="false" outlineLevel="0" max="16" min="16" style="0" width="14"/>
  </cols>
  <sheetData>
    <row r="2" customFormat="false" ht="24" hidden="false" customHeight="true" outlineLevel="0" collapsed="false">
      <c r="B2" s="1" t="s">
        <v>121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B3" s="2" t="s">
        <v>122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N4" s="24" t="s">
        <v>123</v>
      </c>
      <c r="O4" s="25" t="str">
        <f aca="false">PREMISSAS!$C$13</f>
        <v>ÓTIMA</v>
      </c>
    </row>
    <row r="5" customFormat="false" ht="15" hidden="false" customHeight="false" outlineLevel="0" collapsed="false">
      <c r="C5" s="26" t="s">
        <v>124</v>
      </c>
      <c r="D5" s="27" t="s">
        <v>125</v>
      </c>
      <c r="E5" s="27" t="s">
        <v>126</v>
      </c>
      <c r="F5" s="27" t="s">
        <v>127</v>
      </c>
      <c r="G5" s="27" t="s">
        <v>128</v>
      </c>
      <c r="H5" s="27" t="s">
        <v>129</v>
      </c>
      <c r="I5" s="27" t="s">
        <v>130</v>
      </c>
      <c r="J5" s="27" t="s">
        <v>131</v>
      </c>
      <c r="K5" s="27" t="s">
        <v>132</v>
      </c>
      <c r="L5" s="27" t="s">
        <v>133</v>
      </c>
      <c r="M5" s="27" t="s">
        <v>134</v>
      </c>
      <c r="N5" s="27" t="s">
        <v>135</v>
      </c>
      <c r="O5" s="27" t="s">
        <v>136</v>
      </c>
      <c r="P5" s="27" t="s">
        <v>137</v>
      </c>
    </row>
    <row r="6" customFormat="false" ht="15" hidden="false" customHeight="false" outlineLevel="0" collapsed="false">
      <c r="B6" s="15" t="s">
        <v>138</v>
      </c>
      <c r="D6" s="28" t="n">
        <f aca="false">PREMISSAS!$C$6</f>
        <v>46258</v>
      </c>
      <c r="E6" s="28" t="n">
        <f aca="false">D6+7</f>
        <v>46265</v>
      </c>
      <c r="F6" s="28" t="n">
        <f aca="false">E6+7</f>
        <v>46272</v>
      </c>
      <c r="G6" s="28" t="n">
        <f aca="false">F6+7</f>
        <v>46279</v>
      </c>
      <c r="H6" s="28" t="n">
        <f aca="false">G6+7</f>
        <v>46286</v>
      </c>
      <c r="I6" s="28" t="n">
        <f aca="false">H6+7</f>
        <v>46293</v>
      </c>
      <c r="J6" s="28" t="n">
        <f aca="false">I6+7</f>
        <v>46300</v>
      </c>
      <c r="K6" s="28" t="n">
        <f aca="false">J6+7</f>
        <v>46307</v>
      </c>
      <c r="L6" s="28" t="n">
        <f aca="false">K6+7</f>
        <v>46314</v>
      </c>
      <c r="M6" s="28" t="n">
        <f aca="false">L6+7</f>
        <v>46321</v>
      </c>
      <c r="N6" s="28" t="n">
        <f aca="false">M6+7</f>
        <v>46328</v>
      </c>
      <c r="O6" s="28" t="n">
        <f aca="false">N6+7</f>
        <v>46335</v>
      </c>
    </row>
    <row r="7" customFormat="false" ht="15" hidden="false" customHeight="false" outlineLevel="0" collapsed="false">
      <c r="D7" s="29" t="s">
        <v>139</v>
      </c>
      <c r="E7" s="29" t="s">
        <v>139</v>
      </c>
      <c r="F7" s="29" t="s">
        <v>139</v>
      </c>
      <c r="G7" s="29" t="s">
        <v>139</v>
      </c>
      <c r="H7" s="29" t="s">
        <v>139</v>
      </c>
      <c r="I7" s="29" t="s">
        <v>139</v>
      </c>
      <c r="J7" s="29" t="s">
        <v>139</v>
      </c>
      <c r="K7" s="29" t="s">
        <v>139</v>
      </c>
      <c r="L7" s="29" t="s">
        <v>139</v>
      </c>
      <c r="M7" s="29" t="s">
        <v>139</v>
      </c>
      <c r="N7" s="29" t="s">
        <v>139</v>
      </c>
      <c r="O7" s="29" t="s">
        <v>139</v>
      </c>
    </row>
    <row r="8" customFormat="false" ht="15" hidden="false" customHeight="false" outlineLevel="0" collapsed="false">
      <c r="B8" s="15" t="s">
        <v>140</v>
      </c>
      <c r="D8" s="28" t="n">
        <f aca="false">D6+6</f>
        <v>46264</v>
      </c>
      <c r="E8" s="28" t="n">
        <f aca="false">E6+6</f>
        <v>46271</v>
      </c>
      <c r="F8" s="28" t="n">
        <f aca="false">F6+6</f>
        <v>46278</v>
      </c>
      <c r="G8" s="28" t="n">
        <f aca="false">G6+6</f>
        <v>46285</v>
      </c>
      <c r="H8" s="28" t="n">
        <f aca="false">H6+6</f>
        <v>46292</v>
      </c>
      <c r="I8" s="28" t="n">
        <f aca="false">I6+6</f>
        <v>46299</v>
      </c>
      <c r="J8" s="28" t="n">
        <f aca="false">J6+6</f>
        <v>46306</v>
      </c>
      <c r="K8" s="28" t="n">
        <f aca="false">K6+6</f>
        <v>46313</v>
      </c>
      <c r="L8" s="28" t="n">
        <f aca="false">L6+6</f>
        <v>46320</v>
      </c>
      <c r="M8" s="28" t="n">
        <f aca="false">M6+6</f>
        <v>46327</v>
      </c>
      <c r="N8" s="28" t="n">
        <f aca="false">N6+6</f>
        <v>46334</v>
      </c>
      <c r="O8" s="28" t="n">
        <f aca="false">O6+6</f>
        <v>46341</v>
      </c>
    </row>
    <row r="10" customFormat="false" ht="15" hidden="false" customHeight="false" outlineLevel="0" collapsed="false">
      <c r="B10" s="3" t="s">
        <v>141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5" hidden="false" customHeight="false" outlineLevel="0" collapsed="false">
      <c r="B11" s="30" t="s">
        <v>142</v>
      </c>
      <c r="D11" s="31" t="n">
        <f aca="false">PREMISSAS!$C$28*(1+PREMISSAS!$C$18)/(1-PREMISSAS!$C$10)/PREMISSAS!$C$21*7/PREMISSAS!$C$8</f>
        <v>96.6659613347766</v>
      </c>
      <c r="E11" s="31" t="n">
        <f aca="false">PREMISSAS!$C$28*(1+PREMISSAS!$C$18)/(1-PREMISSAS!$C$10)/PREMISSAS!$C$21*7/PREMISSAS!$C$8</f>
        <v>96.6659613347766</v>
      </c>
      <c r="F11" s="31" t="n">
        <f aca="false">PREMISSAS!$C$28*(1+PREMISSAS!$C$18)/(1-PREMISSAS!$C$10)/PREMISSAS!$C$21*7/PREMISSAS!$C$8</f>
        <v>96.6659613347766</v>
      </c>
      <c r="G11" s="31" t="n">
        <f aca="false">PREMISSAS!$C$28*(1+PREMISSAS!$C$18)/(1-PREMISSAS!$C$10)/PREMISSAS!$C$21*7/PREMISSAS!$C$8</f>
        <v>96.6659613347766</v>
      </c>
      <c r="H11" s="31" t="n">
        <f aca="false">PREMISSAS!$C$28*(1+PREMISSAS!$C$18)/(1-PREMISSAS!$C$10)/PREMISSAS!$C$21*7/PREMISSAS!$C$8</f>
        <v>96.6659613347766</v>
      </c>
      <c r="I11" s="31" t="n">
        <f aca="false">PREMISSAS!$C$28*(1+PREMISSAS!$C$18)/(1-PREMISSAS!$C$10)/PREMISSAS!$C$21*7/PREMISSAS!$C$8</f>
        <v>96.6659613347766</v>
      </c>
      <c r="J11" s="31" t="n">
        <f aca="false">PREMISSAS!$C$28*(1+PREMISSAS!$C$18)/(1-PREMISSAS!$C$10)/PREMISSAS!$C$21*7/PREMISSAS!$C$8</f>
        <v>96.6659613347766</v>
      </c>
      <c r="K11" s="31" t="n">
        <f aca="false">PREMISSAS!$C$28*(1+PREMISSAS!$C$18)/(1-PREMISSAS!$C$10)/PREMISSAS!$C$21*7/PREMISSAS!$C$8</f>
        <v>96.6659613347766</v>
      </c>
      <c r="L11" s="31" t="n">
        <f aca="false">PREMISSAS!$C$28*(1+PREMISSAS!$C$18)/(1-PREMISSAS!$C$10)/PREMISSAS!$C$21*7/PREMISSAS!$C$8</f>
        <v>96.6659613347766</v>
      </c>
      <c r="M11" s="31" t="n">
        <f aca="false">PREMISSAS!$C$28*(1+PREMISSAS!$C$18)/(1-PREMISSAS!$C$10)/PREMISSAS!$C$21*7/PREMISSAS!$C$8</f>
        <v>96.6659613347766</v>
      </c>
      <c r="N11" s="31" t="n">
        <f aca="false">PREMISSAS!$C$28*(1+PREMISSAS!$C$18)/(1-PREMISSAS!$C$10)/PREMISSAS!$C$21*7/PREMISSAS!$C$8</f>
        <v>96.6659613347766</v>
      </c>
      <c r="O11" s="31" t="n">
        <f aca="false">PREMISSAS!$C$28*(1+PREMISSAS!$C$18)/(1-PREMISSAS!$C$10)/PREMISSAS!$C$21*7/PREMISSAS!$C$8</f>
        <v>96.6659613347766</v>
      </c>
      <c r="P11" s="32" t="n">
        <f aca="false">SUM(C11:O11)</f>
        <v>1159.99153601732</v>
      </c>
    </row>
    <row r="12" customFormat="false" ht="15" hidden="false" customHeight="false" outlineLevel="0" collapsed="false">
      <c r="B12" s="33" t="s">
        <v>143</v>
      </c>
      <c r="D12" s="34" t="n">
        <f aca="false">IF(D$45&lt;&gt;"",D$45,D11)*PREMISSAS!$C$21</f>
        <v>85182.0451282051</v>
      </c>
      <c r="E12" s="34" t="n">
        <f aca="false">IF(E$45&lt;&gt;"",E$45,E11)*PREMISSAS!$C$21</f>
        <v>85182.0451282051</v>
      </c>
      <c r="F12" s="34" t="n">
        <f aca="false">IF(F$45&lt;&gt;"",F$45,F11)*PREMISSAS!$C$21</f>
        <v>85182.0451282051</v>
      </c>
      <c r="G12" s="34" t="n">
        <f aca="false">IF(G$45&lt;&gt;"",G$45,G11)*PREMISSAS!$C$21</f>
        <v>85182.0451282051</v>
      </c>
      <c r="H12" s="34" t="n">
        <f aca="false">IF(H$45&lt;&gt;"",H$45,H11)*PREMISSAS!$C$21</f>
        <v>85182.0451282051</v>
      </c>
      <c r="I12" s="34" t="n">
        <f aca="false">IF(I$45&lt;&gt;"",I$45,I11)*PREMISSAS!$C$21</f>
        <v>85182.0451282051</v>
      </c>
      <c r="J12" s="34" t="n">
        <f aca="false">IF(J$45&lt;&gt;"",J$45,J11)*PREMISSAS!$C$21</f>
        <v>85182.0451282051</v>
      </c>
      <c r="K12" s="34" t="n">
        <f aca="false">IF(K$45&lt;&gt;"",K$45,K11)*PREMISSAS!$C$21</f>
        <v>85182.0451282051</v>
      </c>
      <c r="L12" s="34" t="n">
        <f aca="false">IF(L$45&lt;&gt;"",L$45,L11)*PREMISSAS!$C$21</f>
        <v>85182.0451282051</v>
      </c>
      <c r="M12" s="34" t="n">
        <f aca="false">IF(M$45&lt;&gt;"",M$45,M11)*PREMISSAS!$C$21</f>
        <v>85182.0451282051</v>
      </c>
      <c r="N12" s="34" t="n">
        <f aca="false">IF(N$45&lt;&gt;"",N$45,N11)*PREMISSAS!$C$21</f>
        <v>85182.0451282051</v>
      </c>
      <c r="O12" s="34" t="n">
        <f aca="false">IF(O$45&lt;&gt;"",O$45,O11)*PREMISSAS!$C$21</f>
        <v>85182.0451282051</v>
      </c>
      <c r="P12" s="34" t="n">
        <f aca="false">SUM(C12:O12)</f>
        <v>1022184.54153846</v>
      </c>
    </row>
    <row r="13" customFormat="false" ht="15" hidden="false" customHeight="false" outlineLevel="0" collapsed="false">
      <c r="B13" s="33" t="s">
        <v>144</v>
      </c>
      <c r="C13" s="35" t="n">
        <v>0</v>
      </c>
      <c r="D13" s="35" t="n">
        <f aca="false">SUMPRODUCT((AUX!$C$8:$Q$8&gt;=D$6)*(AUX!$C$8:$Q$8&lt;=D$8)*AUX!$C$5:$Q$5)</f>
        <v>0</v>
      </c>
      <c r="E13" s="35" t="n">
        <f aca="false">SUMPRODUCT((AUX!$C$8:$Q$8&gt;=E$6)*(AUX!$C$8:$Q$8&lt;=E$8)*AUX!$C$5:$Q$5)</f>
        <v>0</v>
      </c>
      <c r="F13" s="35" t="n">
        <f aca="false">D12</f>
        <v>85182.0451282051</v>
      </c>
      <c r="G13" s="35"/>
      <c r="H13" s="35"/>
      <c r="I13" s="35"/>
      <c r="J13" s="35" t="n">
        <f aca="false">E12+F12+G12+H12+I12</f>
        <v>425910.225641026</v>
      </c>
      <c r="K13" s="35" t="n">
        <f aca="false">SUMPRODUCT((AUX!$C$8:$Q$8&gt;=K$6)*(AUX!$C$8:$Q$8&lt;=K$8)*AUX!$C$5:$Q$5)</f>
        <v>0</v>
      </c>
      <c r="L13" s="35"/>
      <c r="M13" s="35" t="n">
        <f aca="false">SUMPRODUCT((AUX!$C$8:$Q$8&gt;=M$6)*(AUX!$C$8:$Q$8&lt;=M$8)*AUX!$C$5:$Q$5)</f>
        <v>0</v>
      </c>
      <c r="N13" s="35" t="n">
        <f aca="false">SUMPRODUCT((AUX!$C$8:$Q$8&gt;=N$6)*(AUX!$C$8:$Q$8&lt;=N$8)*AUX!$C$5:$Q$5)</f>
        <v>0</v>
      </c>
      <c r="O13" s="35" t="n">
        <f aca="false">J12+K12+L12+M12+N12</f>
        <v>425910.225641026</v>
      </c>
      <c r="P13" s="35" t="n">
        <f aca="false">SUM(C13:O13)</f>
        <v>937002.496410256</v>
      </c>
    </row>
    <row r="14" customFormat="false" ht="15" hidden="false" customHeight="false" outlineLevel="0" collapsed="false">
      <c r="B14" s="30" t="s">
        <v>145</v>
      </c>
      <c r="C14" s="34" t="n">
        <f aca="false">IF(PREMISSAS!$C$48="MEDIÇÃO CHEIA",C13,MAX(0,C13-C15))*PREMISSAS!$C$10</f>
        <v>0</v>
      </c>
      <c r="D14" s="34" t="n">
        <f aca="false">IF(PREMISSAS!$C$48="MEDIÇÃO CHEIA",D13,MAX(0,D13-D15))*PREMISSAS!$C$10</f>
        <v>0</v>
      </c>
      <c r="E14" s="34" t="n">
        <f aca="false">IF(PREMISSAS!$C$48="MEDIÇÃO CHEIA",E13,MAX(0,E13-E15))*PREMISSAS!$C$10</f>
        <v>0</v>
      </c>
      <c r="F14" s="34" t="n">
        <f aca="false">IF(PREMISSAS!$C$48="MEDIÇÃO CHEIA",F13,MAX(0,F13-F15))*PREMISSAS!$C$10</f>
        <v>18740.0499282051</v>
      </c>
      <c r="G14" s="34" t="n">
        <f aca="false">IF(PREMISSAS!$C$48="MEDIÇÃO CHEIA",G13,MAX(0,G13-G15))*PREMISSAS!$C$10</f>
        <v>0</v>
      </c>
      <c r="H14" s="34" t="n">
        <f aca="false">IF(PREMISSAS!$C$48="MEDIÇÃO CHEIA",H13,MAX(0,H13-H15))*PREMISSAS!$C$10</f>
        <v>0</v>
      </c>
      <c r="I14" s="34" t="n">
        <f aca="false">IF(PREMISSAS!$C$48="MEDIÇÃO CHEIA",I13,MAX(0,I13-I15))*PREMISSAS!$C$10</f>
        <v>0</v>
      </c>
      <c r="J14" s="34" t="n">
        <f aca="false">IF(PREMISSAS!$C$48="MEDIÇÃO CHEIA",J13,MAX(0,J13-J15))*PREMISSAS!$C$10</f>
        <v>93700.2496410256</v>
      </c>
      <c r="K14" s="34" t="n">
        <f aca="false">IF(PREMISSAS!$C$48="MEDIÇÃO CHEIA",K13,MAX(0,K13-K15))*PREMISSAS!$C$10</f>
        <v>0</v>
      </c>
      <c r="L14" s="34" t="n">
        <f aca="false">IF(PREMISSAS!$C$48="MEDIÇÃO CHEIA",L13,MAX(0,L13-L15))*PREMISSAS!$C$10</f>
        <v>0</v>
      </c>
      <c r="M14" s="34" t="n">
        <f aca="false">IF(PREMISSAS!$C$48="MEDIÇÃO CHEIA",M13,MAX(0,M13-M15))*PREMISSAS!$C$10</f>
        <v>0</v>
      </c>
      <c r="N14" s="34" t="n">
        <f aca="false">IF(PREMISSAS!$C$48="MEDIÇÃO CHEIA",N13,MAX(0,N13-N15))*PREMISSAS!$C$10</f>
        <v>0</v>
      </c>
      <c r="O14" s="34" t="n">
        <f aca="false">IF(PREMISSAS!$C$48="MEDIÇÃO CHEIA",O13,MAX(0,O13-O15))*PREMISSAS!$C$10</f>
        <v>93700.2496410256</v>
      </c>
      <c r="P14" s="34" t="n">
        <f aca="false">SUM(C14:O14)</f>
        <v>206140.549210256</v>
      </c>
    </row>
    <row r="15" customFormat="false" ht="15" hidden="false" customHeight="false" outlineLevel="0" collapsed="false">
      <c r="B15" s="30" t="s">
        <v>146</v>
      </c>
      <c r="C15" s="36" t="n">
        <v>0</v>
      </c>
      <c r="D15" s="36" t="n">
        <v>0</v>
      </c>
      <c r="E15" s="36" t="n">
        <v>0</v>
      </c>
      <c r="F15" s="36" t="n">
        <f aca="false">PREMISSAS!$C$59*PREMISSAS!$C$39+PREMISSAS!$C$58*0.5</f>
        <v>122006.42</v>
      </c>
      <c r="G15" s="36" t="n">
        <v>0</v>
      </c>
      <c r="H15" s="36" t="n">
        <v>0</v>
      </c>
      <c r="I15" s="36" t="n">
        <v>0</v>
      </c>
      <c r="J15" s="36" t="n">
        <f aca="false">PREMISSAS!$C$59</f>
        <v>217292.84</v>
      </c>
      <c r="K15" s="36" t="n">
        <v>0</v>
      </c>
      <c r="L15" s="36" t="n">
        <v>0</v>
      </c>
      <c r="M15" s="36" t="n">
        <v>0</v>
      </c>
      <c r="N15" s="36" t="n">
        <v>0</v>
      </c>
      <c r="O15" s="36" t="n">
        <f aca="false">PREMISSAS!$C$59</f>
        <v>217292.84</v>
      </c>
      <c r="P15" s="34" t="n">
        <f aca="false">SUM(C15:O15)</f>
        <v>556592.1</v>
      </c>
    </row>
    <row r="16" customFormat="false" ht="15" hidden="false" customHeight="false" outlineLevel="0" collapsed="false">
      <c r="B16" s="30" t="s">
        <v>147</v>
      </c>
      <c r="C16" s="36" t="n">
        <v>0</v>
      </c>
      <c r="D16" s="36" t="n">
        <v>0</v>
      </c>
      <c r="E16" s="36" t="n">
        <v>0</v>
      </c>
      <c r="F16" s="36" t="n">
        <v>0</v>
      </c>
      <c r="G16" s="36" t="n">
        <f aca="false">PREMISSAS!$C$54*PREMISSAS!$C$39</f>
        <v>10000</v>
      </c>
      <c r="H16" s="36" t="n">
        <v>0</v>
      </c>
      <c r="I16" s="36" t="n">
        <v>0</v>
      </c>
      <c r="J16" s="36" t="n">
        <v>0</v>
      </c>
      <c r="K16" s="36" t="n">
        <v>0</v>
      </c>
      <c r="L16" s="36" t="n">
        <f aca="false">PREMISSAS!$C$54</f>
        <v>20000</v>
      </c>
      <c r="M16" s="36" t="n">
        <v>0</v>
      </c>
      <c r="N16" s="36" t="n">
        <v>0</v>
      </c>
      <c r="O16" s="36" t="n">
        <v>0</v>
      </c>
      <c r="P16" s="34" t="n">
        <f aca="false">SUM(C16:O16)</f>
        <v>30000</v>
      </c>
    </row>
    <row r="17" customFormat="false" ht="15" hidden="false" customHeight="false" outlineLevel="0" collapsed="false">
      <c r="B17" s="30" t="s">
        <v>148</v>
      </c>
      <c r="C17" s="37" t="n">
        <v>0</v>
      </c>
      <c r="D17" s="37" t="n">
        <v>0</v>
      </c>
      <c r="E17" s="37" t="n">
        <v>0</v>
      </c>
      <c r="F17" s="37" t="n">
        <v>0</v>
      </c>
      <c r="G17" s="37" t="n">
        <v>0</v>
      </c>
      <c r="H17" s="37" t="n">
        <v>0</v>
      </c>
      <c r="I17" s="37" t="n">
        <v>0</v>
      </c>
      <c r="J17" s="37" t="n">
        <v>0</v>
      </c>
      <c r="K17" s="37" t="n">
        <v>0</v>
      </c>
      <c r="L17" s="37" t="n">
        <v>0</v>
      </c>
      <c r="M17" s="37" t="n">
        <v>0</v>
      </c>
      <c r="N17" s="37" t="n">
        <v>0</v>
      </c>
      <c r="O17" s="37" t="n">
        <v>0</v>
      </c>
      <c r="P17" s="34" t="n">
        <f aca="false">SUM(C17:O17)</f>
        <v>0</v>
      </c>
    </row>
    <row r="18" customFormat="false" ht="15" hidden="false" customHeight="false" outlineLevel="0" collapsed="false">
      <c r="B18" s="30" t="s">
        <v>149</v>
      </c>
      <c r="C18" s="36" t="n">
        <f aca="false">PREMISSAS!$C$57*0.5</f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  <c r="M18" s="36" t="n">
        <v>0</v>
      </c>
      <c r="N18" s="36" t="n">
        <v>0</v>
      </c>
      <c r="O18" s="36" t="n">
        <v>0</v>
      </c>
      <c r="P18" s="34" t="n">
        <f aca="false">SUM(C18:O18)</f>
        <v>0</v>
      </c>
    </row>
    <row r="19" customFormat="false" ht="15" hidden="false" customHeight="false" outlineLevel="0" collapsed="false">
      <c r="B19" s="33" t="s">
        <v>150</v>
      </c>
      <c r="C19" s="35" t="n">
        <f aca="false">SUM(C14:C18)</f>
        <v>0</v>
      </c>
      <c r="D19" s="35" t="n">
        <f aca="false">SUM(D14:D18)</f>
        <v>0</v>
      </c>
      <c r="E19" s="35" t="n">
        <f aca="false">SUM(E14:E18)</f>
        <v>0</v>
      </c>
      <c r="F19" s="35" t="n">
        <f aca="false">SUM(F14:F18)</f>
        <v>140746.469928205</v>
      </c>
      <c r="G19" s="35" t="n">
        <f aca="false">SUM(G14:G18)</f>
        <v>10000</v>
      </c>
      <c r="H19" s="35" t="n">
        <f aca="false">SUM(H14:H18)</f>
        <v>0</v>
      </c>
      <c r="I19" s="35" t="n">
        <f aca="false">SUM(I14:I18)</f>
        <v>0</v>
      </c>
      <c r="J19" s="35" t="n">
        <f aca="false">SUM(J14:J18)</f>
        <v>310993.089641026</v>
      </c>
      <c r="K19" s="35" t="n">
        <f aca="false">SUM(K14:K18)</f>
        <v>0</v>
      </c>
      <c r="L19" s="35" t="n">
        <f aca="false">SUM(L14:L18)</f>
        <v>20000</v>
      </c>
      <c r="M19" s="35" t="n">
        <f aca="false">SUM(M14:M18)</f>
        <v>0</v>
      </c>
      <c r="N19" s="35" t="n">
        <f aca="false">SUM(N14:N18)</f>
        <v>0</v>
      </c>
      <c r="O19" s="35" t="n">
        <f aca="false">SUM(O14:O18)</f>
        <v>310993.089641026</v>
      </c>
      <c r="P19" s="35" t="n">
        <f aca="false">SUM(C19:O19)</f>
        <v>792732.649210256</v>
      </c>
    </row>
    <row r="20" customFormat="false" ht="15" hidden="false" customHeight="false" outlineLevel="0" collapsed="false">
      <c r="B20" s="33" t="s">
        <v>151</v>
      </c>
      <c r="C20" s="35" t="n">
        <f aca="false">C13-C19</f>
        <v>0</v>
      </c>
      <c r="D20" s="35" t="n">
        <f aca="false">D13-D19</f>
        <v>0</v>
      </c>
      <c r="E20" s="35" t="n">
        <f aca="false">E13-E19</f>
        <v>0</v>
      </c>
      <c r="F20" s="35" t="n">
        <f aca="false">F13-F19</f>
        <v>-55564.4248</v>
      </c>
      <c r="G20" s="35" t="n">
        <f aca="false">G13-G19</f>
        <v>-10000</v>
      </c>
      <c r="H20" s="35" t="n">
        <f aca="false">H13-H19</f>
        <v>0</v>
      </c>
      <c r="I20" s="35" t="n">
        <f aca="false">I13-I19</f>
        <v>0</v>
      </c>
      <c r="J20" s="35" t="n">
        <f aca="false">J13-J19</f>
        <v>114917.136</v>
      </c>
      <c r="K20" s="35" t="n">
        <f aca="false">K13-K19</f>
        <v>0</v>
      </c>
      <c r="L20" s="35" t="n">
        <f aca="false">L13-L19</f>
        <v>-20000</v>
      </c>
      <c r="M20" s="35" t="n">
        <f aca="false">M13-M19</f>
        <v>0</v>
      </c>
      <c r="N20" s="35" t="n">
        <f aca="false">N13-N19</f>
        <v>0</v>
      </c>
      <c r="O20" s="35" t="n">
        <f aca="false">O13-O19</f>
        <v>114917.136</v>
      </c>
      <c r="P20" s="35" t="n">
        <f aca="false">SUM(C20:O20)</f>
        <v>144269.8472</v>
      </c>
    </row>
    <row r="21" customFormat="false" ht="15" hidden="false" customHeight="false" outlineLevel="0" collapsed="false">
      <c r="B21" s="33" t="s">
        <v>152</v>
      </c>
      <c r="C21" s="35" t="n">
        <f aca="false">C20</f>
        <v>0</v>
      </c>
      <c r="D21" s="35" t="n">
        <f aca="false">C21+D20</f>
        <v>0</v>
      </c>
      <c r="E21" s="35" t="n">
        <f aca="false">D21+E20</f>
        <v>0</v>
      </c>
      <c r="F21" s="35" t="n">
        <f aca="false">E21+F20</f>
        <v>-55564.4248</v>
      </c>
      <c r="G21" s="35" t="n">
        <f aca="false">F21+G20</f>
        <v>-65564.4248</v>
      </c>
      <c r="H21" s="35" t="n">
        <f aca="false">G21+H20</f>
        <v>-65564.4248</v>
      </c>
      <c r="I21" s="35" t="n">
        <f aca="false">H21+I20</f>
        <v>-65564.4248</v>
      </c>
      <c r="J21" s="35" t="n">
        <f aca="false">I21+J20</f>
        <v>49352.7111999999</v>
      </c>
      <c r="K21" s="35" t="n">
        <f aca="false">J21+K20</f>
        <v>49352.7111999999</v>
      </c>
      <c r="L21" s="35" t="n">
        <f aca="false">K21+L20</f>
        <v>29352.7111999999</v>
      </c>
      <c r="M21" s="35" t="n">
        <f aca="false">L21+M20</f>
        <v>29352.7111999999</v>
      </c>
      <c r="N21" s="35" t="n">
        <f aca="false">M21+N20</f>
        <v>29352.7111999999</v>
      </c>
      <c r="O21" s="35" t="n">
        <f aca="false">N21+O20</f>
        <v>144269.8472</v>
      </c>
      <c r="P21" s="35" t="n">
        <f aca="false">O21</f>
        <v>144269.8472</v>
      </c>
    </row>
    <row r="23" customFormat="false" ht="15" hidden="false" customHeight="false" outlineLevel="0" collapsed="false">
      <c r="B23" s="3" t="s">
        <v>153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" hidden="false" customHeight="false" outlineLevel="0" collapsed="false">
      <c r="B24" s="30" t="s">
        <v>142</v>
      </c>
      <c r="D24" s="31" t="n">
        <f aca="false">PREMISSAS!$C$29*(1+PREMISSAS!$C$18)/(1-PREMISSAS!$C$10)/PREMISSAS!$C$25*7/PREMISSAS!$C$8</f>
        <v>72.276555552204</v>
      </c>
      <c r="E24" s="31" t="n">
        <f aca="false">PREMISSAS!$C$29*(1+PREMISSAS!$C$18)/(1-PREMISSAS!$C$10)/PREMISSAS!$C$25*7/PREMISSAS!$C$8</f>
        <v>72.276555552204</v>
      </c>
      <c r="F24" s="31" t="n">
        <f aca="false">PREMISSAS!$C$29*(1+PREMISSAS!$C$18)/(1-PREMISSAS!$C$10)/PREMISSAS!$C$25*7/PREMISSAS!$C$8</f>
        <v>72.276555552204</v>
      </c>
      <c r="G24" s="31" t="n">
        <f aca="false">PREMISSAS!$C$29*(1+PREMISSAS!$C$18)/(1-PREMISSAS!$C$10)/PREMISSAS!$C$25*7/PREMISSAS!$C$8</f>
        <v>72.276555552204</v>
      </c>
      <c r="H24" s="31" t="n">
        <f aca="false">PREMISSAS!$C$29*(1+PREMISSAS!$C$18)/(1-PREMISSAS!$C$10)/PREMISSAS!$C$25*7/PREMISSAS!$C$8</f>
        <v>72.276555552204</v>
      </c>
      <c r="I24" s="31" t="n">
        <f aca="false">PREMISSAS!$C$29*(1+PREMISSAS!$C$18)/(1-PREMISSAS!$C$10)/PREMISSAS!$C$25*7/PREMISSAS!$C$8</f>
        <v>72.276555552204</v>
      </c>
      <c r="J24" s="31" t="n">
        <f aca="false">PREMISSAS!$C$29*(1+PREMISSAS!$C$18)/(1-PREMISSAS!$C$10)/PREMISSAS!$C$25*7/PREMISSAS!$C$8</f>
        <v>72.276555552204</v>
      </c>
      <c r="K24" s="31" t="n">
        <f aca="false">PREMISSAS!$C$29*(1+PREMISSAS!$C$18)/(1-PREMISSAS!$C$10)/PREMISSAS!$C$25*7/PREMISSAS!$C$8</f>
        <v>72.276555552204</v>
      </c>
      <c r="L24" s="31" t="n">
        <f aca="false">PREMISSAS!$C$29*(1+PREMISSAS!$C$18)/(1-PREMISSAS!$C$10)/PREMISSAS!$C$25*7/PREMISSAS!$C$8</f>
        <v>72.276555552204</v>
      </c>
      <c r="M24" s="31" t="n">
        <f aca="false">PREMISSAS!$C$29*(1+PREMISSAS!$C$18)/(1-PREMISSAS!$C$10)/PREMISSAS!$C$25*7/PREMISSAS!$C$8</f>
        <v>72.276555552204</v>
      </c>
      <c r="N24" s="31" t="n">
        <f aca="false">PREMISSAS!$C$29*(1+PREMISSAS!$C$18)/(1-PREMISSAS!$C$10)/PREMISSAS!$C$25*7/PREMISSAS!$C$8</f>
        <v>72.276555552204</v>
      </c>
      <c r="O24" s="31" t="n">
        <f aca="false">PREMISSAS!$C$29*(1+PREMISSAS!$C$18)/(1-PREMISSAS!$C$10)/PREMISSAS!$C$25*7/PREMISSAS!$C$8</f>
        <v>72.276555552204</v>
      </c>
      <c r="P24" s="32" t="n">
        <f aca="false">SUM(C24:O24)</f>
        <v>867.318666626448</v>
      </c>
    </row>
    <row r="25" customFormat="false" ht="15" hidden="false" customHeight="false" outlineLevel="0" collapsed="false">
      <c r="B25" s="33" t="s">
        <v>143</v>
      </c>
      <c r="D25" s="34" t="n">
        <f aca="false">IF(D$47&lt;&gt;"",D$47,D24)*PREMISSAS!$C$25</f>
        <v>96765.6594871795</v>
      </c>
      <c r="E25" s="34" t="n">
        <f aca="false">IF(E$47&lt;&gt;"",E$47,E24)*PREMISSAS!$C$25</f>
        <v>96765.6594871795</v>
      </c>
      <c r="F25" s="34" t="n">
        <f aca="false">IF(F$47&lt;&gt;"",F$47,F24)*PREMISSAS!$C$25</f>
        <v>96765.6594871795</v>
      </c>
      <c r="G25" s="34" t="n">
        <f aca="false">IF(G$47&lt;&gt;"",G$47,G24)*PREMISSAS!$C$25</f>
        <v>96765.6594871795</v>
      </c>
      <c r="H25" s="34" t="n">
        <f aca="false">IF(H$47&lt;&gt;"",H$47,H24)*PREMISSAS!$C$25</f>
        <v>96765.6594871795</v>
      </c>
      <c r="I25" s="34" t="n">
        <f aca="false">IF(I$47&lt;&gt;"",I$47,I24)*PREMISSAS!$C$25</f>
        <v>96765.6594871795</v>
      </c>
      <c r="J25" s="34" t="n">
        <f aca="false">IF(J$47&lt;&gt;"",J$47,J24)*PREMISSAS!$C$25</f>
        <v>96765.6594871795</v>
      </c>
      <c r="K25" s="34" t="n">
        <f aca="false">IF(K$47&lt;&gt;"",K$47,K24)*PREMISSAS!$C$25</f>
        <v>96765.6594871795</v>
      </c>
      <c r="L25" s="34" t="n">
        <f aca="false">IF(L$47&lt;&gt;"",L$47,L24)*PREMISSAS!$C$25</f>
        <v>96765.6594871795</v>
      </c>
      <c r="M25" s="34" t="n">
        <f aca="false">IF(M$47&lt;&gt;"",M$47,M24)*PREMISSAS!$C$25</f>
        <v>96765.6594871795</v>
      </c>
      <c r="N25" s="34" t="n">
        <f aca="false">IF(N$47&lt;&gt;"",N$47,N24)*PREMISSAS!$C$25</f>
        <v>96765.6594871795</v>
      </c>
      <c r="O25" s="34" t="n">
        <f aca="false">IF(O$47&lt;&gt;"",O$47,O24)*PREMISSAS!$C$25</f>
        <v>96765.6594871795</v>
      </c>
      <c r="P25" s="34" t="n">
        <f aca="false">SUM(C25:O25)</f>
        <v>1161187.91384615</v>
      </c>
    </row>
    <row r="26" customFormat="false" ht="15" hidden="false" customHeight="false" outlineLevel="0" collapsed="false">
      <c r="B26" s="33" t="s">
        <v>144</v>
      </c>
      <c r="C26" s="35" t="n">
        <v>0</v>
      </c>
      <c r="D26" s="35" t="n">
        <f aca="false">SUMPRODUCT((AUX!$C$8:$Q$8&gt;=D$6)*(AUX!$C$8:$Q$8&lt;=D$8)*AUX!$C$6:$Q$6)</f>
        <v>0</v>
      </c>
      <c r="E26" s="35" t="n">
        <f aca="false">SUMPRODUCT((AUX!$C$8:$Q$8&gt;=E$6)*(AUX!$C$8:$Q$8&lt;=E$8)*AUX!$C$6:$Q$6)</f>
        <v>0</v>
      </c>
      <c r="F26" s="35" t="n">
        <f aca="false">D25</f>
        <v>96765.6594871795</v>
      </c>
      <c r="G26" s="35"/>
      <c r="H26" s="35" t="n">
        <f aca="false">SUMPRODUCT((AUX!$C$8:$Q$8&gt;=H$6)*(AUX!$C$8:$Q$8&lt;=H$8)*AUX!$C$6:$Q$6)</f>
        <v>0</v>
      </c>
      <c r="I26" s="35" t="n">
        <f aca="false" t="array" ref="I26:I26">SUMPRODUCT((AUX!$C$8:$Q$8&gt;=I$6)*(AUX!$C$8:$Q$8&lt;=I$8)*AUX!$C$6:$Q$6)</f>
        <v>0</v>
      </c>
      <c r="J26" s="35" t="n">
        <f aca="false">E25+F25+G25+H25+I25</f>
        <v>483828.297435897</v>
      </c>
      <c r="K26" s="35" t="n">
        <f aca="false" t="array" ref="K26:K26">SUMPRODUCT((AUX!$C$8:$Q$8&gt;=K$6)*(AUX!$C$8:$Q$8&lt;=K$8)*AUX!$C$6:$Q$6)</f>
        <v>0</v>
      </c>
      <c r="L26" s="35"/>
      <c r="M26" s="35" t="n">
        <f aca="false">SUMPRODUCT((AUX!$C$8:$Q$8&gt;=M$6)*(AUX!$C$8:$Q$8&lt;=M$8)*AUX!$C$6:$Q$6)</f>
        <v>0</v>
      </c>
      <c r="N26" s="35" t="n">
        <f aca="false">SUMPRODUCT((AUX!$C$8:$Q$8&gt;=N$6)*(AUX!$C$8:$Q$8&lt;=N$8)*AUX!$C$6:$Q$6)</f>
        <v>0</v>
      </c>
      <c r="O26" s="35" t="n">
        <f aca="false">J25+K25+L25+M25+N25</f>
        <v>483828.297435897</v>
      </c>
      <c r="P26" s="35" t="n">
        <f aca="false">SUM(C26:O26)</f>
        <v>1064422.25435897</v>
      </c>
    </row>
    <row r="27" customFormat="false" ht="15" hidden="false" customHeight="false" outlineLevel="0" collapsed="false">
      <c r="B27" s="30" t="s">
        <v>145</v>
      </c>
      <c r="C27" s="34" t="n">
        <f aca="false">IF(PREMISSAS!$C$48="MEDIÇÃO CHEIA",C26,MAX(0,C26-C28))*PREMISSAS!$C$10</f>
        <v>0</v>
      </c>
      <c r="D27" s="34" t="n">
        <f aca="false">IF(PREMISSAS!$C$48="MEDIÇÃO CHEIA",D26,MAX(0,D26-D28))*PREMISSAS!$C$10</f>
        <v>0</v>
      </c>
      <c r="E27" s="34" t="n">
        <f aca="false">IF(PREMISSAS!$C$48="MEDIÇÃO CHEIA",E26,MAX(0,E26-E28))*PREMISSAS!$C$10</f>
        <v>0</v>
      </c>
      <c r="F27" s="34" t="n">
        <f aca="false">IF(PREMISSAS!$C$48="MEDIÇÃO CHEIA",F26,MAX(0,F26-F28))*PREMISSAS!$C$10</f>
        <v>21288.4450871795</v>
      </c>
      <c r="G27" s="34" t="n">
        <f aca="false">IF(PREMISSAS!$C$48="MEDIÇÃO CHEIA",G26,MAX(0,G26-G28))*PREMISSAS!$C$10</f>
        <v>0</v>
      </c>
      <c r="H27" s="34" t="n">
        <f aca="false">IF(PREMISSAS!$C$48="MEDIÇÃO CHEIA",H26,MAX(0,H26-H28))*PREMISSAS!$C$10</f>
        <v>0</v>
      </c>
      <c r="I27" s="34" t="n">
        <f aca="false">IF(PREMISSAS!$C$48="MEDIÇÃO CHEIA",I26,MAX(0,I26-I28))*PREMISSAS!$C$10</f>
        <v>0</v>
      </c>
      <c r="J27" s="34" t="n">
        <f aca="false">IF(PREMISSAS!$C$48="MEDIÇÃO CHEIA",J26,MAX(0,J26-J28))*PREMISSAS!$C$10</f>
        <v>106442.225435897</v>
      </c>
      <c r="K27" s="34" t="n">
        <f aca="false">IF(PREMISSAS!$C$48="MEDIÇÃO CHEIA",K26,MAX(0,K26-K28))*PREMISSAS!$C$10</f>
        <v>0</v>
      </c>
      <c r="L27" s="34" t="n">
        <f aca="false">IF(PREMISSAS!$C$48="MEDIÇÃO CHEIA",L26,MAX(0,L26-L28))*PREMISSAS!$C$10</f>
        <v>0</v>
      </c>
      <c r="M27" s="34" t="n">
        <f aca="false">IF(PREMISSAS!$C$48="MEDIÇÃO CHEIA",M26,MAX(0,M26-M28))*PREMISSAS!$C$10</f>
        <v>0</v>
      </c>
      <c r="N27" s="34" t="n">
        <f aca="false">IF(PREMISSAS!$C$48="MEDIÇÃO CHEIA",N26,MAX(0,N26-N28))*PREMISSAS!$C$10</f>
        <v>0</v>
      </c>
      <c r="O27" s="34" t="n">
        <f aca="false">IF(PREMISSAS!$C$48="MEDIÇÃO CHEIA",O26,MAX(0,O26-O28))*PREMISSAS!$C$10</f>
        <v>106442.225435897</v>
      </c>
      <c r="P27" s="34" t="n">
        <f aca="false">SUM(C27:O27)</f>
        <v>234172.895958974</v>
      </c>
    </row>
    <row r="28" customFormat="false" ht="15" hidden="false" customHeight="false" outlineLevel="0" collapsed="false">
      <c r="B28" s="30" t="s">
        <v>146</v>
      </c>
      <c r="C28" s="36" t="n">
        <v>0</v>
      </c>
      <c r="D28" s="36" t="n">
        <v>0</v>
      </c>
      <c r="E28" s="36" t="n">
        <v>0</v>
      </c>
      <c r="F28" s="36" t="n">
        <f aca="false">PREMISSAS!$C$60*PREMISSAS!$C$39+PREMISSAS!$C$58*0.5</f>
        <v>138140.74</v>
      </c>
      <c r="G28" s="36" t="n">
        <v>0</v>
      </c>
      <c r="H28" s="36" t="n">
        <v>0</v>
      </c>
      <c r="I28" s="36" t="n">
        <v>0</v>
      </c>
      <c r="J28" s="36" t="n">
        <f aca="false">PREMISSAS!$C$60</f>
        <v>249561.48</v>
      </c>
      <c r="K28" s="36" t="n">
        <v>0</v>
      </c>
      <c r="L28" s="36" t="n">
        <v>0</v>
      </c>
      <c r="M28" s="36" t="n">
        <v>0</v>
      </c>
      <c r="N28" s="36" t="n">
        <v>0</v>
      </c>
      <c r="O28" s="36" t="n">
        <f aca="false">PREMISSAS!$C$60</f>
        <v>249561.48</v>
      </c>
      <c r="P28" s="34" t="n">
        <f aca="false">SUM(C28:O28)</f>
        <v>637263.7</v>
      </c>
    </row>
    <row r="29" customFormat="false" ht="15" hidden="false" customHeight="false" outlineLevel="0" collapsed="false">
      <c r="B29" s="30" t="s">
        <v>147</v>
      </c>
      <c r="C29" s="36" t="n">
        <v>0</v>
      </c>
      <c r="D29" s="36" t="n">
        <v>0</v>
      </c>
      <c r="E29" s="36" t="n">
        <v>0</v>
      </c>
      <c r="F29" s="36" t="n">
        <v>0</v>
      </c>
      <c r="G29" s="36" t="n">
        <f aca="false">PREMISSAS!$C$55*PREMISSAS!$C$39</f>
        <v>10000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f aca="false">PREMISSAS!$C$55</f>
        <v>20000</v>
      </c>
      <c r="M29" s="36" t="n">
        <v>0</v>
      </c>
      <c r="N29" s="36" t="n">
        <v>0</v>
      </c>
      <c r="O29" s="36" t="n">
        <v>0</v>
      </c>
      <c r="P29" s="34" t="n">
        <f aca="false">SUM(C29:O29)</f>
        <v>30000</v>
      </c>
    </row>
    <row r="30" customFormat="false" ht="15" hidden="false" customHeight="false" outlineLevel="0" collapsed="false">
      <c r="B30" s="30" t="s">
        <v>148</v>
      </c>
      <c r="C30" s="37" t="n">
        <v>0</v>
      </c>
      <c r="D30" s="37" t="n">
        <v>0</v>
      </c>
      <c r="E30" s="37" t="n">
        <v>0</v>
      </c>
      <c r="F30" s="37" t="n">
        <v>0</v>
      </c>
      <c r="G30" s="37" t="n">
        <v>0</v>
      </c>
      <c r="H30" s="37" t="n">
        <v>0</v>
      </c>
      <c r="I30" s="37" t="n">
        <v>0</v>
      </c>
      <c r="J30" s="37" t="n">
        <v>0</v>
      </c>
      <c r="K30" s="37" t="n">
        <v>0</v>
      </c>
      <c r="L30" s="37" t="n">
        <v>0</v>
      </c>
      <c r="M30" s="37" t="n">
        <v>0</v>
      </c>
      <c r="N30" s="37" t="n">
        <v>0</v>
      </c>
      <c r="O30" s="37" t="n">
        <v>0</v>
      </c>
      <c r="P30" s="34" t="n">
        <f aca="false">SUM(C30:O30)</f>
        <v>0</v>
      </c>
    </row>
    <row r="31" customFormat="false" ht="15" hidden="false" customHeight="false" outlineLevel="0" collapsed="false">
      <c r="B31" s="30" t="s">
        <v>149</v>
      </c>
      <c r="C31" s="36" t="n">
        <f aca="false">PREMISSAS!$C$57*0.5</f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6" t="n">
        <v>0</v>
      </c>
      <c r="O31" s="36" t="n">
        <v>0</v>
      </c>
      <c r="P31" s="34" t="n">
        <f aca="false">SUM(C31:O31)</f>
        <v>0</v>
      </c>
    </row>
    <row r="32" customFormat="false" ht="15" hidden="false" customHeight="false" outlineLevel="0" collapsed="false">
      <c r="B32" s="33" t="s">
        <v>150</v>
      </c>
      <c r="C32" s="35" t="n">
        <f aca="false">SUM(C27:C31)</f>
        <v>0</v>
      </c>
      <c r="D32" s="35" t="n">
        <f aca="false">SUM(D27:D31)</f>
        <v>0</v>
      </c>
      <c r="E32" s="35" t="n">
        <f aca="false">SUM(E27:E31)</f>
        <v>0</v>
      </c>
      <c r="F32" s="35" t="n">
        <f aca="false">SUM(F27:F31)</f>
        <v>159429.185087179</v>
      </c>
      <c r="G32" s="35" t="n">
        <f aca="false">SUM(G27:G31)</f>
        <v>10000</v>
      </c>
      <c r="H32" s="35" t="n">
        <f aca="false">SUM(H27:H31)</f>
        <v>0</v>
      </c>
      <c r="I32" s="35" t="n">
        <f aca="false">SUM(I27:I31)</f>
        <v>0</v>
      </c>
      <c r="J32" s="35" t="n">
        <f aca="false">SUM(J27:J31)</f>
        <v>356003.705435897</v>
      </c>
      <c r="K32" s="35" t="n">
        <f aca="false">SUM(K27:K31)</f>
        <v>0</v>
      </c>
      <c r="L32" s="35" t="n">
        <f aca="false">SUM(L27:L31)</f>
        <v>20000</v>
      </c>
      <c r="M32" s="35" t="n">
        <f aca="false">SUM(M27:M31)</f>
        <v>0</v>
      </c>
      <c r="N32" s="35" t="n">
        <f aca="false">SUM(N27:N31)</f>
        <v>0</v>
      </c>
      <c r="O32" s="35" t="n">
        <f aca="false">SUM(O27:O31)</f>
        <v>356003.705435897</v>
      </c>
      <c r="P32" s="35" t="n">
        <f aca="false">SUM(C32:O32)</f>
        <v>901436.595958974</v>
      </c>
    </row>
    <row r="33" customFormat="false" ht="15" hidden="false" customHeight="false" outlineLevel="0" collapsed="false">
      <c r="B33" s="33" t="s">
        <v>151</v>
      </c>
      <c r="C33" s="35" t="n">
        <f aca="false">C26-C32</f>
        <v>0</v>
      </c>
      <c r="D33" s="35" t="n">
        <f aca="false">D26-D32</f>
        <v>0</v>
      </c>
      <c r="E33" s="35" t="n">
        <f aca="false">E26-E32</f>
        <v>0</v>
      </c>
      <c r="F33" s="35" t="n">
        <f aca="false">F26-F32</f>
        <v>-62663.5256</v>
      </c>
      <c r="G33" s="35" t="n">
        <f aca="false">G26-G32</f>
        <v>-10000</v>
      </c>
      <c r="H33" s="35" t="n">
        <f aca="false">H26-H32</f>
        <v>0</v>
      </c>
      <c r="I33" s="35" t="n">
        <f aca="false">I26-I32</f>
        <v>0</v>
      </c>
      <c r="J33" s="35" t="n">
        <f aca="false">J26-J32</f>
        <v>127824.592</v>
      </c>
      <c r="K33" s="35" t="n">
        <f aca="false">K26-K32</f>
        <v>0</v>
      </c>
      <c r="L33" s="35" t="n">
        <f aca="false">L26-L32</f>
        <v>-20000</v>
      </c>
      <c r="M33" s="35" t="n">
        <f aca="false">M26-M32</f>
        <v>0</v>
      </c>
      <c r="N33" s="35" t="n">
        <f aca="false">N26-N32</f>
        <v>0</v>
      </c>
      <c r="O33" s="35" t="n">
        <f aca="false">O26-O32</f>
        <v>127824.592</v>
      </c>
      <c r="P33" s="35" t="n">
        <f aca="false">SUM(C33:O33)</f>
        <v>162985.6584</v>
      </c>
    </row>
    <row r="34" customFormat="false" ht="15" hidden="false" customHeight="false" outlineLevel="0" collapsed="false">
      <c r="B34" s="33" t="s">
        <v>152</v>
      </c>
      <c r="C34" s="35" t="n">
        <f aca="false">C33</f>
        <v>0</v>
      </c>
      <c r="D34" s="35" t="n">
        <f aca="false">C34+D33</f>
        <v>0</v>
      </c>
      <c r="E34" s="35" t="n">
        <f aca="false">D34+E33</f>
        <v>0</v>
      </c>
      <c r="F34" s="35" t="n">
        <f aca="false">E34+F33</f>
        <v>-62663.5256</v>
      </c>
      <c r="G34" s="35" t="n">
        <f aca="false">F34+G33</f>
        <v>-72663.5256</v>
      </c>
      <c r="H34" s="35" t="n">
        <f aca="false">G34+H33</f>
        <v>-72663.5256</v>
      </c>
      <c r="I34" s="35" t="n">
        <f aca="false">H34+I33</f>
        <v>-72663.5256</v>
      </c>
      <c r="J34" s="35" t="n">
        <f aca="false">I34+J33</f>
        <v>55161.0663999999</v>
      </c>
      <c r="K34" s="35" t="n">
        <f aca="false">J34+K33</f>
        <v>55161.0663999999</v>
      </c>
      <c r="L34" s="35" t="n">
        <f aca="false">K34+L33</f>
        <v>35161.0663999999</v>
      </c>
      <c r="M34" s="35" t="n">
        <f aca="false">L34+M33</f>
        <v>35161.0663999999</v>
      </c>
      <c r="N34" s="35" t="n">
        <f aca="false">M34+N33</f>
        <v>35161.0663999999</v>
      </c>
      <c r="O34" s="35" t="n">
        <f aca="false">N34+O33</f>
        <v>162985.6584</v>
      </c>
      <c r="P34" s="35" t="n">
        <f aca="false">O34</f>
        <v>162985.6584</v>
      </c>
    </row>
    <row r="36" customFormat="false" ht="15" hidden="false" customHeight="false" outlineLevel="0" collapsed="false">
      <c r="B36" s="3" t="s">
        <v>154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" hidden="false" customHeight="false" outlineLevel="0" collapsed="false">
      <c r="B37" s="33" t="s">
        <v>144</v>
      </c>
      <c r="C37" s="35" t="n">
        <f aca="false">C13+C26</f>
        <v>0</v>
      </c>
      <c r="D37" s="35" t="n">
        <f aca="false">D13+D26</f>
        <v>0</v>
      </c>
      <c r="E37" s="35" t="n">
        <f aca="false">E13+E26</f>
        <v>0</v>
      </c>
      <c r="F37" s="35" t="n">
        <f aca="false">F13+F26</f>
        <v>181947.704615385</v>
      </c>
      <c r="G37" s="35" t="n">
        <f aca="false">G13+G26</f>
        <v>0</v>
      </c>
      <c r="H37" s="35" t="n">
        <f aca="false">H13+H26</f>
        <v>0</v>
      </c>
      <c r="I37" s="35" t="n">
        <f aca="false">I13+I26</f>
        <v>0</v>
      </c>
      <c r="J37" s="35" t="n">
        <f aca="false">J13+J26</f>
        <v>909738.523076923</v>
      </c>
      <c r="K37" s="35" t="n">
        <f aca="false">K13+K26</f>
        <v>0</v>
      </c>
      <c r="L37" s="35" t="n">
        <f aca="false">L13+L26</f>
        <v>0</v>
      </c>
      <c r="M37" s="35" t="n">
        <f aca="false">M13+M26</f>
        <v>0</v>
      </c>
      <c r="N37" s="35" t="n">
        <f aca="false">N13+N26</f>
        <v>0</v>
      </c>
      <c r="O37" s="35" t="n">
        <f aca="false">O13+O26</f>
        <v>909738.523076923</v>
      </c>
      <c r="P37" s="35" t="n">
        <f aca="false">SUM(C37:O37)</f>
        <v>2001424.75076923</v>
      </c>
    </row>
    <row r="38" customFormat="false" ht="15" hidden="false" customHeight="false" outlineLevel="0" collapsed="false">
      <c r="B38" s="33" t="s">
        <v>150</v>
      </c>
      <c r="C38" s="35" t="n">
        <f aca="false">C19+C32</f>
        <v>0</v>
      </c>
      <c r="D38" s="35" t="n">
        <f aca="false">D19+D32</f>
        <v>0</v>
      </c>
      <c r="E38" s="35" t="n">
        <f aca="false">E19+E32</f>
        <v>0</v>
      </c>
      <c r="F38" s="35" t="n">
        <f aca="false">F19+F32</f>
        <v>300175.655015385</v>
      </c>
      <c r="G38" s="35" t="n">
        <f aca="false">G19+G32</f>
        <v>20000</v>
      </c>
      <c r="H38" s="35" t="n">
        <f aca="false">H19+H32</f>
        <v>0</v>
      </c>
      <c r="I38" s="35" t="n">
        <f aca="false">I19+I32</f>
        <v>0</v>
      </c>
      <c r="J38" s="35" t="n">
        <f aca="false">J19+J32</f>
        <v>666996.795076923</v>
      </c>
      <c r="K38" s="35" t="n">
        <f aca="false">K19+K32</f>
        <v>0</v>
      </c>
      <c r="L38" s="35" t="n">
        <f aca="false">L19+L32</f>
        <v>40000</v>
      </c>
      <c r="M38" s="35" t="n">
        <f aca="false">M19+M32</f>
        <v>0</v>
      </c>
      <c r="N38" s="35" t="n">
        <f aca="false">N19+N32</f>
        <v>0</v>
      </c>
      <c r="O38" s="35" t="n">
        <f aca="false">O19+O32</f>
        <v>666996.795076923</v>
      </c>
      <c r="P38" s="35" t="n">
        <f aca="false">SUM(C38:O38)</f>
        <v>1694169.24516923</v>
      </c>
    </row>
    <row r="39" customFormat="false" ht="15" hidden="false" customHeight="false" outlineLevel="0" collapsed="false">
      <c r="B39" s="33" t="s">
        <v>151</v>
      </c>
      <c r="C39" s="35" t="n">
        <f aca="false">C37-C38</f>
        <v>0</v>
      </c>
      <c r="D39" s="35" t="n">
        <f aca="false">D37-D38</f>
        <v>0</v>
      </c>
      <c r="E39" s="35" t="n">
        <f aca="false">E37-E38</f>
        <v>0</v>
      </c>
      <c r="F39" s="35" t="n">
        <f aca="false">F37-F38</f>
        <v>-118227.9504</v>
      </c>
      <c r="G39" s="35" t="n">
        <f aca="false">G37-G38</f>
        <v>-20000</v>
      </c>
      <c r="H39" s="35" t="n">
        <f aca="false">H37-H38</f>
        <v>0</v>
      </c>
      <c r="I39" s="35" t="n">
        <f aca="false">I37-I38</f>
        <v>0</v>
      </c>
      <c r="J39" s="35" t="n">
        <f aca="false">J37-J38</f>
        <v>242741.728</v>
      </c>
      <c r="K39" s="35" t="n">
        <f aca="false">K37-K38</f>
        <v>0</v>
      </c>
      <c r="L39" s="35" t="n">
        <f aca="false">L37-L38</f>
        <v>-40000</v>
      </c>
      <c r="M39" s="35" t="n">
        <f aca="false">M37-M38</f>
        <v>0</v>
      </c>
      <c r="N39" s="35" t="n">
        <f aca="false">N37-N38</f>
        <v>0</v>
      </c>
      <c r="O39" s="35" t="n">
        <f aca="false">O37-O38</f>
        <v>242741.728</v>
      </c>
      <c r="P39" s="35" t="n">
        <f aca="false">SUM(C39:O39)</f>
        <v>307255.5056</v>
      </c>
    </row>
    <row r="40" customFormat="false" ht="15" hidden="false" customHeight="false" outlineLevel="0" collapsed="false">
      <c r="B40" s="33" t="s">
        <v>152</v>
      </c>
      <c r="C40" s="35" t="n">
        <f aca="false">C39</f>
        <v>0</v>
      </c>
      <c r="D40" s="35" t="n">
        <f aca="false">C40+D39</f>
        <v>0</v>
      </c>
      <c r="E40" s="35" t="n">
        <f aca="false">D40+E39</f>
        <v>0</v>
      </c>
      <c r="F40" s="35" t="n">
        <f aca="false">E40+F39</f>
        <v>-118227.9504</v>
      </c>
      <c r="G40" s="35" t="n">
        <f aca="false">F40+G39</f>
        <v>-138227.9504</v>
      </c>
      <c r="H40" s="35" t="n">
        <f aca="false">G40+H39</f>
        <v>-138227.9504</v>
      </c>
      <c r="I40" s="35" t="n">
        <f aca="false">H40+I39</f>
        <v>-138227.9504</v>
      </c>
      <c r="J40" s="35" t="n">
        <f aca="false">I40+J39</f>
        <v>104513.7776</v>
      </c>
      <c r="K40" s="35" t="n">
        <f aca="false">J40+K39</f>
        <v>104513.7776</v>
      </c>
      <c r="L40" s="35" t="n">
        <f aca="false">K40+L39</f>
        <v>64513.7775999999</v>
      </c>
      <c r="M40" s="35" t="n">
        <f aca="false">L40+M39</f>
        <v>64513.7775999999</v>
      </c>
      <c r="N40" s="35" t="n">
        <f aca="false">M40+N39</f>
        <v>64513.7775999999</v>
      </c>
      <c r="O40" s="35" t="n">
        <f aca="false">N40+O39</f>
        <v>307255.5056</v>
      </c>
      <c r="P40" s="35" t="n">
        <f aca="false">O40</f>
        <v>307255.5056</v>
      </c>
    </row>
    <row r="42" customFormat="false" ht="15" hidden="false" customHeight="true" outlineLevel="0" collapsed="false">
      <c r="B42" s="38" t="s">
        <v>155</v>
      </c>
      <c r="C42" s="39" t="n">
        <f aca="false">MIN(C40:O40)</f>
        <v>-138227.9504</v>
      </c>
      <c r="D42" s="39"/>
      <c r="E42" s="39"/>
      <c r="G42" s="40" t="s">
        <v>156</v>
      </c>
      <c r="H42" s="40"/>
      <c r="I42" s="40"/>
      <c r="J42" s="40"/>
      <c r="K42" s="40"/>
      <c r="L42" s="40"/>
      <c r="M42" s="40"/>
      <c r="N42" s="40"/>
      <c r="O42" s="40"/>
    </row>
    <row r="44" customFormat="false" ht="15" hidden="false" customHeight="false" outlineLevel="0" collapsed="false">
      <c r="B44" s="3" t="s">
        <v>157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" hidden="false" customHeight="false" outlineLevel="0" collapsed="false">
      <c r="B45" s="24" t="s">
        <v>158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2" t="n">
        <f aca="false">SUM(D45:O45)</f>
        <v>0</v>
      </c>
    </row>
    <row r="46" customFormat="false" ht="15" hidden="false" customHeight="false" outlineLevel="0" collapsed="false">
      <c r="B46" s="43" t="s">
        <v>159</v>
      </c>
      <c r="D46" s="44" t="str">
        <f aca="false">IF(D45="","",D45/D11)</f>
        <v/>
      </c>
      <c r="E46" s="44" t="str">
        <f aca="false">IF(E45="","",E45/E11)</f>
        <v/>
      </c>
      <c r="F46" s="44" t="str">
        <f aca="false">IF(F45="","",F45/F11)</f>
        <v/>
      </c>
      <c r="G46" s="44" t="str">
        <f aca="false">IF(G45="","",G45/G11)</f>
        <v/>
      </c>
      <c r="H46" s="44" t="str">
        <f aca="false">IF(H45="","",H45/H11)</f>
        <v/>
      </c>
      <c r="I46" s="44" t="str">
        <f aca="false">IF(I45="","",I45/I11)</f>
        <v/>
      </c>
      <c r="J46" s="44" t="str">
        <f aca="false">IF(J45="","",J45/J11)</f>
        <v/>
      </c>
      <c r="K46" s="44" t="str">
        <f aca="false">IF(K45="","",K45/K11)</f>
        <v/>
      </c>
      <c r="L46" s="44" t="str">
        <f aca="false">IF(L45="","",L45/L11)</f>
        <v/>
      </c>
      <c r="M46" s="44" t="str">
        <f aca="false">IF(M45="","",M45/M11)</f>
        <v/>
      </c>
      <c r="N46" s="44" t="str">
        <f aca="false">IF(N45="","",N45/N11)</f>
        <v/>
      </c>
      <c r="O46" s="44" t="str">
        <f aca="false">IF(O45="","",O45/O11)</f>
        <v/>
      </c>
      <c r="P46" s="17" t="str">
        <f aca="false">IF(P45=0,"",P45/SUM(D11:O11))</f>
        <v/>
      </c>
    </row>
    <row r="47" customFormat="false" ht="15" hidden="false" customHeight="false" outlineLevel="0" collapsed="false">
      <c r="B47" s="24" t="s">
        <v>160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2" t="n">
        <f aca="false">SUM(D47:O47)</f>
        <v>0</v>
      </c>
    </row>
    <row r="48" customFormat="false" ht="15" hidden="false" customHeight="false" outlineLevel="0" collapsed="false">
      <c r="B48" s="43" t="s">
        <v>161</v>
      </c>
      <c r="D48" s="44" t="str">
        <f aca="false">IF(D47="","",D47/D24)</f>
        <v/>
      </c>
      <c r="E48" s="44" t="str">
        <f aca="false">IF(E47="","",E47/E24)</f>
        <v/>
      </c>
      <c r="F48" s="44" t="str">
        <f aca="false">IF(F47="","",F47/F24)</f>
        <v/>
      </c>
      <c r="G48" s="44" t="str">
        <f aca="false">IF(G47="","",G47/G24)</f>
        <v/>
      </c>
      <c r="H48" s="44" t="str">
        <f aca="false">IF(H47="","",H47/H24)</f>
        <v/>
      </c>
      <c r="I48" s="44" t="str">
        <f aca="false">IF(I47="","",I47/I24)</f>
        <v/>
      </c>
      <c r="J48" s="44" t="str">
        <f aca="false">IF(J47="","",J47/J24)</f>
        <v/>
      </c>
      <c r="K48" s="44" t="str">
        <f aca="false">IF(K47="","",K47/K24)</f>
        <v/>
      </c>
      <c r="L48" s="44" t="str">
        <f aca="false">IF(L47="","",L47/L24)</f>
        <v/>
      </c>
      <c r="M48" s="44" t="str">
        <f aca="false">IF(M47="","",M47/M24)</f>
        <v/>
      </c>
      <c r="N48" s="44" t="str">
        <f aca="false">IF(N47="","",N47/N24)</f>
        <v/>
      </c>
      <c r="O48" s="44" t="str">
        <f aca="false">IF(O47="","",O47/O24)</f>
        <v/>
      </c>
      <c r="P48" s="17" t="str">
        <f aca="false">IF(P47=0,"",P47/SUM(D24:O24))</f>
        <v/>
      </c>
    </row>
    <row r="49" customFormat="false" ht="15" hidden="false" customHeight="false" outlineLevel="0" collapsed="false">
      <c r="B49" s="43" t="s">
        <v>162</v>
      </c>
      <c r="D49" s="44" t="str">
        <f aca="false">IF(COUNT(D45,D47)=0,"",(D45*PREMISSAS!$C$21+D47*PREMISSAS!$C$25)/(D11*PREMISSAS!$C$21+D24*PREMISSAS!$C$25))</f>
        <v/>
      </c>
      <c r="E49" s="44" t="str">
        <f aca="false">IF(COUNT(E45,E47)=0,"",(E45*PREMISSAS!$C$21+E47*PREMISSAS!$C$25)/(E11*PREMISSAS!$C$21+E24*PREMISSAS!$C$25))</f>
        <v/>
      </c>
      <c r="F49" s="44" t="str">
        <f aca="false">IF(COUNT(F45,F47)=0,"",(F45*PREMISSAS!$C$21+F47*PREMISSAS!$C$25)/(F11*PREMISSAS!$C$21+F24*PREMISSAS!$C$25))</f>
        <v/>
      </c>
      <c r="G49" s="44" t="str">
        <f aca="false">IF(COUNT(G45,G47)=0,"",(G45*PREMISSAS!$C$21+G47*PREMISSAS!$C$25)/(G11*PREMISSAS!$C$21+G24*PREMISSAS!$C$25))</f>
        <v/>
      </c>
      <c r="H49" s="44" t="str">
        <f aca="false">IF(COUNT(H45,H47)=0,"",(H45*PREMISSAS!$C$21+H47*PREMISSAS!$C$25)/(H11*PREMISSAS!$C$21+H24*PREMISSAS!$C$25))</f>
        <v/>
      </c>
      <c r="I49" s="44" t="str">
        <f aca="false">IF(COUNT(I45,I47)=0,"",(I45*PREMISSAS!$C$21+I47*PREMISSAS!$C$25)/(I11*PREMISSAS!$C$21+I24*PREMISSAS!$C$25))</f>
        <v/>
      </c>
      <c r="J49" s="44" t="str">
        <f aca="false">IF(COUNT(J45,J47)=0,"",(J45*PREMISSAS!$C$21+J47*PREMISSAS!$C$25)/(J11*PREMISSAS!$C$21+J24*PREMISSAS!$C$25))</f>
        <v/>
      </c>
      <c r="K49" s="44" t="str">
        <f aca="false">IF(COUNT(K45,K47)=0,"",(K45*PREMISSAS!$C$21+K47*PREMISSAS!$C$25)/(K11*PREMISSAS!$C$21+K24*PREMISSAS!$C$25))</f>
        <v/>
      </c>
      <c r="L49" s="44" t="str">
        <f aca="false">IF(COUNT(L45,L47)=0,"",(L45*PREMISSAS!$C$21+L47*PREMISSAS!$C$25)/(L11*PREMISSAS!$C$21+L24*PREMISSAS!$C$25))</f>
        <v/>
      </c>
      <c r="M49" s="44" t="str">
        <f aca="false">IF(COUNT(M45,M47)=0,"",(M45*PREMISSAS!$C$21+M47*PREMISSAS!$C$25)/(M11*PREMISSAS!$C$21+M24*PREMISSAS!$C$25))</f>
        <v/>
      </c>
      <c r="N49" s="44" t="str">
        <f aca="false">IF(COUNT(N45,N47)=0,"",(N45*PREMISSAS!$C$21+N47*PREMISSAS!$C$25)/(N11*PREMISSAS!$C$21+N24*PREMISSAS!$C$25))</f>
        <v/>
      </c>
      <c r="O49" s="44" t="str">
        <f aca="false">IF(COUNT(O45,O47)=0,"",(O45*PREMISSAS!$C$21+O47*PREMISSAS!$C$25)/(O11*PREMISSAS!$C$21+O24*PREMISSAS!$C$25))</f>
        <v/>
      </c>
    </row>
    <row r="50" customFormat="false" ht="15" hidden="false" customHeight="true" outlineLevel="0" collapsed="false">
      <c r="B50" s="40" t="s">
        <v>163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</row>
  </sheetData>
  <mergeCells count="9">
    <mergeCell ref="B2:P2"/>
    <mergeCell ref="B3:P3"/>
    <mergeCell ref="B10:P10"/>
    <mergeCell ref="B23:P23"/>
    <mergeCell ref="B36:P36"/>
    <mergeCell ref="C42:E42"/>
    <mergeCell ref="G42:O42"/>
    <mergeCell ref="B44:P44"/>
    <mergeCell ref="B50:P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17" min="3" style="0" width="12.5"/>
    <col collapsed="false" customWidth="true" hidden="false" outlineLevel="0" max="18" min="18" style="0" width="15"/>
  </cols>
  <sheetData>
    <row r="2" customFormat="false" ht="24" hidden="false" customHeight="true" outlineLevel="0" collapsed="false">
      <c r="B2" s="1" t="s">
        <v>164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B3" s="2" t="s">
        <v>165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P4" s="24" t="s">
        <v>123</v>
      </c>
      <c r="Q4" s="25" t="str">
        <f aca="false">PREMISSAS!$C$13</f>
        <v>ÓTIMA</v>
      </c>
    </row>
    <row r="5" customFormat="false" ht="15" hidden="false" customHeight="false" outlineLevel="0" collapsed="false">
      <c r="B5" s="45" t="s">
        <v>166</v>
      </c>
      <c r="C5" s="46" t="n">
        <f aca="false">DATE(YEAR(PREMISSAS!$C$6),MONTH(PREMISSAS!$C$6),1)</f>
        <v>46235</v>
      </c>
      <c r="D5" s="46" t="n">
        <f aca="false">EDATE(C5,1)</f>
        <v>46266</v>
      </c>
      <c r="E5" s="46" t="n">
        <f aca="false">EDATE(D5,1)</f>
        <v>46296</v>
      </c>
      <c r="F5" s="46" t="n">
        <f aca="false">EDATE(E5,1)</f>
        <v>46327</v>
      </c>
      <c r="G5" s="46" t="n">
        <f aca="false">EDATE(F5,1)</f>
        <v>46357</v>
      </c>
      <c r="H5" s="46" t="n">
        <f aca="false">EDATE(G5,1)</f>
        <v>46388</v>
      </c>
      <c r="I5" s="46" t="n">
        <f aca="false">EDATE(H5,1)</f>
        <v>46419</v>
      </c>
      <c r="J5" s="46" t="n">
        <f aca="false">EDATE(I5,1)</f>
        <v>46447</v>
      </c>
      <c r="K5" s="46" t="n">
        <f aca="false">EDATE(J5,1)</f>
        <v>46478</v>
      </c>
      <c r="L5" s="46" t="n">
        <f aca="false">EDATE(K5,1)</f>
        <v>46508</v>
      </c>
      <c r="M5" s="46" t="n">
        <f aca="false">EDATE(L5,1)</f>
        <v>46539</v>
      </c>
      <c r="N5" s="46" t="n">
        <f aca="false">EDATE(M5,1)</f>
        <v>46569</v>
      </c>
      <c r="O5" s="46" t="n">
        <f aca="false">EDATE(N5,1)</f>
        <v>46600</v>
      </c>
      <c r="P5" s="46" t="n">
        <f aca="false">EDATE(O5,1)</f>
        <v>46631</v>
      </c>
      <c r="Q5" s="46" t="n">
        <f aca="false">EDATE(P5,1)</f>
        <v>46661</v>
      </c>
      <c r="R5" s="27" t="s">
        <v>137</v>
      </c>
    </row>
    <row r="6" customFormat="false" ht="15" hidden="false" customHeight="false" outlineLevel="0" collapsed="false">
      <c r="B6" s="30" t="s">
        <v>167</v>
      </c>
      <c r="C6" s="47" t="n">
        <f aca="false">AUX!C4</f>
        <v>8</v>
      </c>
      <c r="D6" s="47" t="n">
        <f aca="false">AUX!D4</f>
        <v>30</v>
      </c>
      <c r="E6" s="47" t="n">
        <f aca="false">AUX!E4</f>
        <v>31</v>
      </c>
      <c r="F6" s="47" t="n">
        <f aca="false">AUX!F4</f>
        <v>30</v>
      </c>
      <c r="G6" s="47" t="n">
        <f aca="false">AUX!G4</f>
        <v>31</v>
      </c>
      <c r="H6" s="47" t="n">
        <f aca="false">AUX!H4</f>
        <v>31</v>
      </c>
      <c r="I6" s="47" t="n">
        <f aca="false">AUX!I4</f>
        <v>28</v>
      </c>
      <c r="J6" s="47" t="n">
        <f aca="false">AUX!J4</f>
        <v>31</v>
      </c>
      <c r="K6" s="47" t="n">
        <f aca="false">AUX!K4</f>
        <v>30</v>
      </c>
      <c r="L6" s="47" t="n">
        <f aca="false">AUX!L4</f>
        <v>31</v>
      </c>
      <c r="M6" s="47" t="n">
        <f aca="false">AUX!M4</f>
        <v>30</v>
      </c>
      <c r="N6" s="47" t="n">
        <f aca="false">AUX!N4</f>
        <v>31</v>
      </c>
      <c r="O6" s="47" t="n">
        <f aca="false">AUX!O4</f>
        <v>0</v>
      </c>
      <c r="P6" s="47" t="n">
        <f aca="false">AUX!P4</f>
        <v>0</v>
      </c>
      <c r="Q6" s="47" t="n">
        <f aca="false">AUX!Q4</f>
        <v>0</v>
      </c>
      <c r="R6" s="48" t="n">
        <f aca="false">SUM(C6:Q6)</f>
        <v>342</v>
      </c>
    </row>
    <row r="8" customFormat="false" ht="15" hidden="false" customHeight="false" outlineLevel="0" collapsed="false">
      <c r="B8" s="3" t="s">
        <v>141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5" hidden="false" customHeight="false" outlineLevel="0" collapsed="false">
      <c r="B9" s="30" t="s">
        <v>168</v>
      </c>
      <c r="C9" s="49" t="n">
        <f aca="false">AUX!C5</f>
        <v>85182.0451282051</v>
      </c>
      <c r="D9" s="49" t="n">
        <f aca="false">AUX!D5</f>
        <v>425910.225641026</v>
      </c>
      <c r="E9" s="49" t="n">
        <f aca="false">AUX!E5</f>
        <v>425910.225641026</v>
      </c>
      <c r="F9" s="49" t="n">
        <f aca="false">AUX!F5</f>
        <v>365065.907692308</v>
      </c>
      <c r="G9" s="49" t="n">
        <f aca="false">AUX!G5</f>
        <v>377234.771282051</v>
      </c>
      <c r="H9" s="49" t="n">
        <f aca="false">AUX!H5</f>
        <v>377234.771282051</v>
      </c>
      <c r="I9" s="49" t="n">
        <f aca="false">AUX!I5</f>
        <v>340728.180512821</v>
      </c>
      <c r="J9" s="49" t="n">
        <f aca="false">AUX!J5</f>
        <v>377234.771282051</v>
      </c>
      <c r="K9" s="49" t="n">
        <f aca="false">AUX!K5</f>
        <v>365065.907692308</v>
      </c>
      <c r="L9" s="49" t="n">
        <f aca="false">AUX!L5</f>
        <v>377234.771282051</v>
      </c>
      <c r="M9" s="49" t="n">
        <f aca="false">AUX!M5</f>
        <v>365065.907692308</v>
      </c>
      <c r="N9" s="49" t="n">
        <f aca="false">AUX!N5</f>
        <v>377234.771282051</v>
      </c>
      <c r="O9" s="49" t="n">
        <f aca="false">AUX!O5</f>
        <v>0</v>
      </c>
      <c r="P9" s="49" t="n">
        <f aca="false">AUX!P5</f>
        <v>0</v>
      </c>
      <c r="Q9" s="49" t="n">
        <f aca="false">AUX!Q5</f>
        <v>0</v>
      </c>
      <c r="R9" s="50" t="n">
        <f aca="false">SUM(C9:Q9)</f>
        <v>4259102.25641026</v>
      </c>
    </row>
    <row r="10" customFormat="false" ht="15" hidden="false" customHeight="false" outlineLevel="0" collapsed="false">
      <c r="B10" s="30" t="s">
        <v>169</v>
      </c>
      <c r="C10" s="36" t="n">
        <f aca="false">SUMPRODUCT((AUX!$C$8:$Q$8&gt;=C$5)*(AUX!$C$8:$Q$8&lt;=EOMONTH(C$5,0))*AUX!$C$5:$Q$5)</f>
        <v>0</v>
      </c>
      <c r="D10" s="36" t="n">
        <f aca="false">SUMPRODUCT((AUX!$C$8:$Q$8&gt;=D$5)*(AUX!$C$8:$Q$8&lt;=EOMONTH(D$5,0))*AUX!$C$5:$Q$5)</f>
        <v>85182.0451282051</v>
      </c>
      <c r="E10" s="36" t="n">
        <f aca="false">SUMPRODUCT((AUX!$C$8:$Q$8&gt;=E$5)*(AUX!$C$8:$Q$8&lt;=EOMONTH(E$5,0))*AUX!$C$5:$Q$5)</f>
        <v>425910.225641026</v>
      </c>
      <c r="F10" s="36" t="n">
        <f aca="false">SUMPRODUCT((AUX!$C$8:$Q$8&gt;=F$5)*(AUX!$C$8:$Q$8&lt;=EOMONTH(F$5,0))*AUX!$C$5:$Q$5)</f>
        <v>425910.225641026</v>
      </c>
      <c r="G10" s="36" t="n">
        <f aca="false">SUMPRODUCT((AUX!$C$8:$Q$8&gt;=G$5)*(AUX!$C$8:$Q$8&lt;=EOMONTH(G$5,0))*AUX!$C$5:$Q$5)</f>
        <v>365065.907692308</v>
      </c>
      <c r="H10" s="36" t="n">
        <f aca="false">SUMPRODUCT((AUX!$C$8:$Q$8&gt;=H$5)*(AUX!$C$8:$Q$8&lt;=EOMONTH(H$5,0))*AUX!$C$5:$Q$5)</f>
        <v>377234.771282051</v>
      </c>
      <c r="I10" s="36" t="n">
        <f aca="false">SUMPRODUCT((AUX!$C$8:$Q$8&gt;=I$5)*(AUX!$C$8:$Q$8&lt;=EOMONTH(I$5,0))*AUX!$C$5:$Q$5)</f>
        <v>377234.771282051</v>
      </c>
      <c r="J10" s="36" t="n">
        <f aca="false">SUMPRODUCT((AUX!$C$8:$Q$8&gt;=J$5)*(AUX!$C$8:$Q$8&lt;=EOMONTH(J$5,0))*AUX!$C$5:$Q$5)</f>
        <v>340728.180512821</v>
      </c>
      <c r="K10" s="36" t="n">
        <f aca="false">SUMPRODUCT((AUX!$C$8:$Q$8&gt;=K$5)*(AUX!$C$8:$Q$8&lt;=EOMONTH(K$5,0))*AUX!$C$5:$Q$5)</f>
        <v>377234.771282051</v>
      </c>
      <c r="L10" s="36" t="n">
        <f aca="false">SUMPRODUCT((AUX!$C$8:$Q$8&gt;=L$5)*(AUX!$C$8:$Q$8&lt;=EOMONTH(L$5,0))*AUX!$C$5:$Q$5)</f>
        <v>365065.907692308</v>
      </c>
      <c r="M10" s="36" t="n">
        <f aca="false">SUMPRODUCT((AUX!$C$8:$Q$8&gt;=M$5)*(AUX!$C$8:$Q$8&lt;=EOMONTH(M$5,0))*AUX!$C$5:$Q$5)</f>
        <v>377234.771282051</v>
      </c>
      <c r="N10" s="36" t="n">
        <f aca="false">SUMPRODUCT((AUX!$C$8:$Q$8&gt;=N$5)*(AUX!$C$8:$Q$8&lt;=EOMONTH(N$5,0))*AUX!$C$5:$Q$5)</f>
        <v>365065.907692308</v>
      </c>
      <c r="O10" s="36" t="n">
        <f aca="false">SUMPRODUCT((AUX!$C$8:$Q$8&gt;=O$5)*(AUX!$C$8:$Q$8&lt;=EOMONTH(O$5,0))*AUX!$C$5:$Q$5)</f>
        <v>377234.771282051</v>
      </c>
      <c r="P10" s="36" t="n">
        <f aca="false">SUMPRODUCT((AUX!$C$8:$Q$8&gt;=P$5)*(AUX!$C$8:$Q$8&lt;=EOMONTH(P$5,0))*AUX!$C$5:$Q$5)</f>
        <v>0</v>
      </c>
      <c r="Q10" s="36" t="n">
        <f aca="false">SUMPRODUCT((AUX!$C$8:$Q$8&gt;=Q$5)*(AUX!$C$8:$Q$8&lt;=EOMONTH(Q$5,0))*AUX!$C$5:$Q$5)</f>
        <v>0</v>
      </c>
      <c r="R10" s="50" t="n">
        <f aca="false">SUM(C10:Q10)</f>
        <v>4259102.25641026</v>
      </c>
    </row>
    <row r="11" customFormat="false" ht="15" hidden="false" customHeight="false" outlineLevel="0" collapsed="false">
      <c r="B11" s="30" t="s">
        <v>170</v>
      </c>
      <c r="C11" s="36" t="n">
        <v>0</v>
      </c>
      <c r="D11" s="36" t="n">
        <f aca="false">PREMISSAS!$C$59*AUX!C$9/PREMISSAS!$C$8+IF(D$5=EDATE(DATE(YEAR(PREMISSAS!$C$6),MONTH(PREMISSAS!$C$6),1),1),PREMISSAS!$C$58*0.5,0)</f>
        <v>122006.42</v>
      </c>
      <c r="E11" s="36" t="n">
        <f aca="false">PREMISSAS!$C$59*AUX!D$9/PREMISSAS!$C$8+IF(E$5=EDATE(DATE(YEAR(PREMISSAS!$C$6),MONTH(PREMISSAS!$C$6),1),1),PREMISSAS!$C$58*0.5,0)</f>
        <v>217292.84</v>
      </c>
      <c r="F11" s="36" t="n">
        <f aca="false">PREMISSAS!$C$59*AUX!E$9/PREMISSAS!$C$8+IF(F$5=EDATE(DATE(YEAR(PREMISSAS!$C$6),MONTH(PREMISSAS!$C$6),1),1),PREMISSAS!$C$58*0.5,0)</f>
        <v>224535.934666667</v>
      </c>
      <c r="G11" s="36" t="n">
        <f aca="false">PREMISSAS!$C$59*AUX!F$9/PREMISSAS!$C$8+IF(G$5=EDATE(DATE(YEAR(PREMISSAS!$C$6),MONTH(PREMISSAS!$C$6),1),1),PREMISSAS!$C$58*0.5,0)</f>
        <v>217292.84</v>
      </c>
      <c r="H11" s="36" t="n">
        <f aca="false">PREMISSAS!$C$59*AUX!G$9/PREMISSAS!$C$8+IF(H$5=EDATE(DATE(YEAR(PREMISSAS!$C$6),MONTH(PREMISSAS!$C$6),1),1),PREMISSAS!$C$58*0.5,0)</f>
        <v>224535.934666667</v>
      </c>
      <c r="I11" s="36" t="n">
        <f aca="false">PREMISSAS!$C$59*AUX!H$9/PREMISSAS!$C$8+IF(I$5=EDATE(DATE(YEAR(PREMISSAS!$C$6),MONTH(PREMISSAS!$C$6),1),1),PREMISSAS!$C$58*0.5,0)</f>
        <v>224535.934666667</v>
      </c>
      <c r="J11" s="36" t="n">
        <f aca="false">PREMISSAS!$C$59*AUX!I$9/PREMISSAS!$C$8+IF(J$5=EDATE(DATE(YEAR(PREMISSAS!$C$6),MONTH(PREMISSAS!$C$6),1),1),PREMISSAS!$C$58*0.5,0)</f>
        <v>202806.650666667</v>
      </c>
      <c r="K11" s="36" t="n">
        <f aca="false">PREMISSAS!$C$59*AUX!J$9/PREMISSAS!$C$8+IF(K$5=EDATE(DATE(YEAR(PREMISSAS!$C$6),MONTH(PREMISSAS!$C$6),1),1),PREMISSAS!$C$58*0.5,0)</f>
        <v>224535.934666667</v>
      </c>
      <c r="L11" s="36" t="n">
        <f aca="false">PREMISSAS!$C$59*AUX!K$9/PREMISSAS!$C$8+IF(L$5=EDATE(DATE(YEAR(PREMISSAS!$C$6),MONTH(PREMISSAS!$C$6),1),1),PREMISSAS!$C$58*0.5,0)</f>
        <v>217292.84</v>
      </c>
      <c r="M11" s="36" t="n">
        <f aca="false">PREMISSAS!$C$59*AUX!L$9/PREMISSAS!$C$8+IF(M$5=EDATE(DATE(YEAR(PREMISSAS!$C$6),MONTH(PREMISSAS!$C$6),1),1),PREMISSAS!$C$58*0.5,0)</f>
        <v>224535.934666667</v>
      </c>
      <c r="N11" s="36" t="n">
        <f aca="false">PREMISSAS!$C$59*AUX!M$9/PREMISSAS!$C$8+IF(N$5=EDATE(DATE(YEAR(PREMISSAS!$C$6),MONTH(PREMISSAS!$C$6),1),1),PREMISSAS!$C$58*0.5,0)</f>
        <v>217292.84</v>
      </c>
      <c r="O11" s="36" t="n">
        <f aca="false">PREMISSAS!$C$59*AUX!N$9/PREMISSAS!$C$8+IF(O$5=EDATE(DATE(YEAR(PREMISSAS!$C$6),MONTH(PREMISSAS!$C$6),1),1),PREMISSAS!$C$58*0.5,0)</f>
        <v>224535.934666667</v>
      </c>
      <c r="P11" s="36" t="n">
        <f aca="false">PREMISSAS!$C$59*AUX!O$9/PREMISSAS!$C$8+IF(P$5=EDATE(DATE(YEAR(PREMISSAS!$C$6),MONTH(PREMISSAS!$C$6),1),1),PREMISSAS!$C$58*0.5,0)</f>
        <v>0</v>
      </c>
      <c r="Q11" s="36" t="n">
        <f aca="false">PREMISSAS!$C$59*AUX!P$9/PREMISSAS!$C$8+IF(Q$5=EDATE(DATE(YEAR(PREMISSAS!$C$6),MONTH(PREMISSAS!$C$6),1),1),PREMISSAS!$C$58*0.5,0)</f>
        <v>0</v>
      </c>
      <c r="R11" s="50" t="n">
        <f aca="false">SUM(C11:Q11)</f>
        <v>2541200.03866667</v>
      </c>
    </row>
    <row r="12" customFormat="false" ht="15" hidden="false" customHeight="false" outlineLevel="0" collapsed="false">
      <c r="B12" s="30" t="s">
        <v>145</v>
      </c>
      <c r="C12" s="36" t="n">
        <f aca="false">IF(PREMISSAS!$C$48="MEDIÇÃO CHEIA",C10,MAX(0,C10-C11))*PREMISSAS!$C$10</f>
        <v>0</v>
      </c>
      <c r="D12" s="36" t="n">
        <f aca="false">IF(PREMISSAS!$C$48="MEDIÇÃO CHEIA",D10,MAX(0,D10-D11))*PREMISSAS!$C$10</f>
        <v>18740.0499282051</v>
      </c>
      <c r="E12" s="36" t="n">
        <f aca="false">IF(PREMISSAS!$C$48="MEDIÇÃO CHEIA",E10,MAX(0,E10-E11))*PREMISSAS!$C$10</f>
        <v>93700.2496410256</v>
      </c>
      <c r="F12" s="36" t="n">
        <f aca="false">IF(PREMISSAS!$C$48="MEDIÇÃO CHEIA",F10,MAX(0,F10-F11))*PREMISSAS!$C$10</f>
        <v>93700.2496410256</v>
      </c>
      <c r="G12" s="36" t="n">
        <f aca="false">IF(PREMISSAS!$C$48="MEDIÇÃO CHEIA",G10,MAX(0,G10-G11))*PREMISSAS!$C$10</f>
        <v>80314.4996923077</v>
      </c>
      <c r="H12" s="36" t="n">
        <f aca="false">IF(PREMISSAS!$C$48="MEDIÇÃO CHEIA",H10,MAX(0,H10-H11))*PREMISSAS!$C$10</f>
        <v>82991.6496820513</v>
      </c>
      <c r="I12" s="36" t="n">
        <f aca="false">IF(PREMISSAS!$C$48="MEDIÇÃO CHEIA",I10,MAX(0,I10-I11))*PREMISSAS!$C$10</f>
        <v>82991.6496820513</v>
      </c>
      <c r="J12" s="36" t="n">
        <f aca="false">IF(PREMISSAS!$C$48="MEDIÇÃO CHEIA",J10,MAX(0,J10-J11))*PREMISSAS!$C$10</f>
        <v>74960.1997128205</v>
      </c>
      <c r="K12" s="36" t="n">
        <f aca="false">IF(PREMISSAS!$C$48="MEDIÇÃO CHEIA",K10,MAX(0,K10-K11))*PREMISSAS!$C$10</f>
        <v>82991.6496820513</v>
      </c>
      <c r="L12" s="36" t="n">
        <f aca="false">IF(PREMISSAS!$C$48="MEDIÇÃO CHEIA",L10,MAX(0,L10-L11))*PREMISSAS!$C$10</f>
        <v>80314.4996923077</v>
      </c>
      <c r="M12" s="36" t="n">
        <f aca="false">IF(PREMISSAS!$C$48="MEDIÇÃO CHEIA",M10,MAX(0,M10-M11))*PREMISSAS!$C$10</f>
        <v>82991.6496820513</v>
      </c>
      <c r="N12" s="36" t="n">
        <f aca="false">IF(PREMISSAS!$C$48="MEDIÇÃO CHEIA",N10,MAX(0,N10-N11))*PREMISSAS!$C$10</f>
        <v>80314.4996923077</v>
      </c>
      <c r="O12" s="36" t="n">
        <f aca="false">IF(PREMISSAS!$C$48="MEDIÇÃO CHEIA",O10,MAX(0,O10-O11))*PREMISSAS!$C$10</f>
        <v>82991.6496820513</v>
      </c>
      <c r="P12" s="36" t="n">
        <f aca="false">IF(PREMISSAS!$C$48="MEDIÇÃO CHEIA",P10,MAX(0,P10-P11))*PREMISSAS!$C$10</f>
        <v>0</v>
      </c>
      <c r="Q12" s="36" t="n">
        <f aca="false">IF(PREMISSAS!$C$48="MEDIÇÃO CHEIA",Q10,MAX(0,Q10-Q11))*PREMISSAS!$C$10</f>
        <v>0</v>
      </c>
      <c r="R12" s="50" t="n">
        <f aca="false">SUM(C12:Q12)</f>
        <v>937002.496410256</v>
      </c>
    </row>
    <row r="13" customFormat="false" ht="15" hidden="false" customHeight="false" outlineLevel="0" collapsed="false">
      <c r="B13" s="33" t="s">
        <v>171</v>
      </c>
      <c r="C13" s="50" t="n">
        <f aca="false">C10-C11-C12</f>
        <v>0</v>
      </c>
      <c r="D13" s="50" t="n">
        <f aca="false">D10-D11-D12</f>
        <v>-55564.4248</v>
      </c>
      <c r="E13" s="50" t="n">
        <f aca="false">E10-E11-E12</f>
        <v>114917.136</v>
      </c>
      <c r="F13" s="50" t="n">
        <f aca="false">F10-F11-F12</f>
        <v>107674.041333333</v>
      </c>
      <c r="G13" s="50" t="n">
        <f aca="false">G10-G11-G12</f>
        <v>67458.568</v>
      </c>
      <c r="H13" s="50" t="n">
        <f aca="false">H10-H11-H12</f>
        <v>69707.1869333333</v>
      </c>
      <c r="I13" s="50" t="n">
        <f aca="false">I10-I11-I12</f>
        <v>69707.1869333333</v>
      </c>
      <c r="J13" s="50" t="n">
        <f aca="false">J10-J11-J12</f>
        <v>62961.3301333333</v>
      </c>
      <c r="K13" s="50" t="n">
        <f aca="false">K10-K11-K12</f>
        <v>69707.1869333333</v>
      </c>
      <c r="L13" s="50" t="n">
        <f aca="false">L10-L11-L12</f>
        <v>67458.568</v>
      </c>
      <c r="M13" s="50" t="n">
        <f aca="false">M10-M11-M12</f>
        <v>69707.1869333333</v>
      </c>
      <c r="N13" s="50" t="n">
        <f aca="false">N10-N11-N12</f>
        <v>67458.568</v>
      </c>
      <c r="O13" s="50" t="n">
        <f aca="false">O10-O11-O12</f>
        <v>69707.1869333333</v>
      </c>
      <c r="P13" s="50" t="n">
        <f aca="false">P10-P11-P12</f>
        <v>0</v>
      </c>
      <c r="Q13" s="50" t="n">
        <f aca="false">Q10-Q11-Q12</f>
        <v>0</v>
      </c>
      <c r="R13" s="50" t="n">
        <f aca="false">SUM(C13:Q13)</f>
        <v>780899.721333333</v>
      </c>
    </row>
    <row r="14" customFormat="false" ht="15" hidden="false" customHeight="false" outlineLevel="0" collapsed="false">
      <c r="B14" s="30" t="s">
        <v>172</v>
      </c>
      <c r="C14" s="36" t="n">
        <f aca="false">IF(C$5=DATE(YEAR(PREMISSAS!$C$6),MONTH(PREMISSAS!$C$6),1),PREMISSAS!$C$57*0.5,0)</f>
        <v>0</v>
      </c>
      <c r="D14" s="36" t="n">
        <f aca="false">PREMISSAS!$C$54*AUX!C$9/PREMISSAS!$C$8</f>
        <v>10000</v>
      </c>
      <c r="E14" s="36" t="n">
        <f aca="false">PREMISSAS!$C$54*AUX!D$9/PREMISSAS!$C$8</f>
        <v>20000</v>
      </c>
      <c r="F14" s="36" t="n">
        <f aca="false">PREMISSAS!$C$54*AUX!E$9/PREMISSAS!$C$8</f>
        <v>20666.6666666667</v>
      </c>
      <c r="G14" s="36" t="n">
        <f aca="false">PREMISSAS!$C$54*AUX!F$9/PREMISSAS!$C$8</f>
        <v>20000</v>
      </c>
      <c r="H14" s="36" t="n">
        <f aca="false">PREMISSAS!$C$54*AUX!G$9/PREMISSAS!$C$8</f>
        <v>20666.6666666667</v>
      </c>
      <c r="I14" s="36" t="n">
        <f aca="false">PREMISSAS!$C$54*AUX!H$9/PREMISSAS!$C$8</f>
        <v>20666.6666666667</v>
      </c>
      <c r="J14" s="36" t="n">
        <f aca="false">PREMISSAS!$C$54*AUX!I$9/PREMISSAS!$C$8</f>
        <v>18666.6666666667</v>
      </c>
      <c r="K14" s="36" t="n">
        <f aca="false">PREMISSAS!$C$54*AUX!J$9/PREMISSAS!$C$8</f>
        <v>20666.6666666667</v>
      </c>
      <c r="L14" s="36" t="n">
        <f aca="false">PREMISSAS!$C$54*AUX!K$9/PREMISSAS!$C$8</f>
        <v>20000</v>
      </c>
      <c r="M14" s="36" t="n">
        <f aca="false">PREMISSAS!$C$54*AUX!L$9/PREMISSAS!$C$8</f>
        <v>20666.6666666667</v>
      </c>
      <c r="N14" s="36" t="n">
        <f aca="false">PREMISSAS!$C$54*AUX!M$9/PREMISSAS!$C$8</f>
        <v>20000</v>
      </c>
      <c r="O14" s="36" t="n">
        <f aca="false">PREMISSAS!$C$54*AUX!N$9/PREMISSAS!$C$8</f>
        <v>20666.6666666667</v>
      </c>
      <c r="P14" s="36" t="n">
        <f aca="false">PREMISSAS!$C$54*AUX!O$9/PREMISSAS!$C$8</f>
        <v>0</v>
      </c>
      <c r="Q14" s="36" t="n">
        <f aca="false">PREMISSAS!$C$54*AUX!P$9/PREMISSAS!$C$8</f>
        <v>0</v>
      </c>
      <c r="R14" s="50" t="n">
        <f aca="false">SUM(C14:Q14)</f>
        <v>232666.666666667</v>
      </c>
    </row>
    <row r="15" customFormat="false" ht="15" hidden="false" customHeight="false" outlineLevel="0" collapsed="false">
      <c r="B15" s="30" t="s">
        <v>173</v>
      </c>
      <c r="C15" s="36" t="n">
        <f aca="false">C13-C14</f>
        <v>0</v>
      </c>
      <c r="D15" s="36" t="n">
        <f aca="false">D13-D14</f>
        <v>-65564.4248</v>
      </c>
      <c r="E15" s="36" t="n">
        <f aca="false">E13-E14</f>
        <v>94917.136</v>
      </c>
      <c r="F15" s="36" t="n">
        <f aca="false">F13-F14</f>
        <v>87007.3746666666</v>
      </c>
      <c r="G15" s="36" t="n">
        <f aca="false">G13-G14</f>
        <v>47458.568</v>
      </c>
      <c r="H15" s="36" t="n">
        <f aca="false">H13-H14</f>
        <v>49040.5202666667</v>
      </c>
      <c r="I15" s="36" t="n">
        <f aca="false">I13-I14</f>
        <v>49040.5202666667</v>
      </c>
      <c r="J15" s="36" t="n">
        <f aca="false">J13-J14</f>
        <v>44294.6634666667</v>
      </c>
      <c r="K15" s="36" t="n">
        <f aca="false">K13-K14</f>
        <v>49040.5202666667</v>
      </c>
      <c r="L15" s="36" t="n">
        <f aca="false">L13-L14</f>
        <v>47458.568</v>
      </c>
      <c r="M15" s="36" t="n">
        <f aca="false">M13-M14</f>
        <v>49040.5202666667</v>
      </c>
      <c r="N15" s="36" t="n">
        <f aca="false">N13-N14</f>
        <v>47458.568</v>
      </c>
      <c r="O15" s="36" t="n">
        <f aca="false">O13-O14</f>
        <v>49040.5202666667</v>
      </c>
      <c r="P15" s="36" t="n">
        <f aca="false">P13-P14</f>
        <v>0</v>
      </c>
      <c r="Q15" s="36" t="n">
        <f aca="false">Q13-Q14</f>
        <v>0</v>
      </c>
      <c r="R15" s="50" t="n">
        <f aca="false">SUM(C15:Q15)</f>
        <v>548233.054666666</v>
      </c>
    </row>
    <row r="16" customFormat="false" ht="15" hidden="false" customHeight="false" outlineLevel="0" collapsed="false">
      <c r="B16" s="33" t="s">
        <v>174</v>
      </c>
      <c r="C16" s="50" t="n">
        <f aca="false">-C14</f>
        <v>-0</v>
      </c>
      <c r="D16" s="50" t="n">
        <f aca="false">C17-D14</f>
        <v>-10000</v>
      </c>
      <c r="E16" s="50" t="n">
        <f aca="false">D17-E14</f>
        <v>-85564.4248</v>
      </c>
      <c r="F16" s="50" t="n">
        <f aca="false">E17-F14</f>
        <v>8686.04453333328</v>
      </c>
      <c r="G16" s="50" t="n">
        <f aca="false">F17-G14</f>
        <v>96360.0858666666</v>
      </c>
      <c r="H16" s="50" t="n">
        <f aca="false">G17-H14</f>
        <v>143151.9872</v>
      </c>
      <c r="I16" s="50" t="n">
        <f aca="false">H17-I14</f>
        <v>192192.507466667</v>
      </c>
      <c r="J16" s="50" t="n">
        <f aca="false">I17-J14</f>
        <v>243233.027733333</v>
      </c>
      <c r="K16" s="50" t="n">
        <f aca="false">J17-K14</f>
        <v>285527.6912</v>
      </c>
      <c r="L16" s="50" t="n">
        <f aca="false">K17-L14</f>
        <v>335234.878133333</v>
      </c>
      <c r="M16" s="50" t="n">
        <f aca="false">L17-M14</f>
        <v>382026.779466666</v>
      </c>
      <c r="N16" s="50" t="n">
        <f aca="false">M17-N14</f>
        <v>431733.9664</v>
      </c>
      <c r="O16" s="50" t="n">
        <f aca="false">N17-O14</f>
        <v>478525.867733333</v>
      </c>
      <c r="P16" s="50" t="n">
        <f aca="false">O17-P14</f>
        <v>548233.054666666</v>
      </c>
      <c r="Q16" s="50" t="n">
        <f aca="false">P17-Q14</f>
        <v>548233.054666666</v>
      </c>
      <c r="R16" s="51" t="n">
        <f aca="false">MIN(C16:Q16)</f>
        <v>-85564.4248</v>
      </c>
    </row>
    <row r="17" customFormat="false" ht="15" hidden="false" customHeight="false" outlineLevel="0" collapsed="false">
      <c r="B17" s="33" t="s">
        <v>175</v>
      </c>
      <c r="C17" s="50" t="n">
        <f aca="false">C16+C13</f>
        <v>0</v>
      </c>
      <c r="D17" s="50" t="n">
        <f aca="false">D16+D13</f>
        <v>-65564.4248</v>
      </c>
      <c r="E17" s="50" t="n">
        <f aca="false">E16+E13</f>
        <v>29352.7111999999</v>
      </c>
      <c r="F17" s="50" t="n">
        <f aca="false">F16+F13</f>
        <v>116360.085866667</v>
      </c>
      <c r="G17" s="50" t="n">
        <f aca="false">G16+G13</f>
        <v>163818.653866667</v>
      </c>
      <c r="H17" s="50" t="n">
        <f aca="false">H16+H13</f>
        <v>212859.174133333</v>
      </c>
      <c r="I17" s="50" t="n">
        <f aca="false">I16+I13</f>
        <v>261899.6944</v>
      </c>
      <c r="J17" s="50" t="n">
        <f aca="false">J16+J13</f>
        <v>306194.357866667</v>
      </c>
      <c r="K17" s="50" t="n">
        <f aca="false">K16+K13</f>
        <v>355234.878133333</v>
      </c>
      <c r="L17" s="50" t="n">
        <f aca="false">L16+L13</f>
        <v>402693.446133333</v>
      </c>
      <c r="M17" s="50" t="n">
        <f aca="false">M16+M13</f>
        <v>451733.9664</v>
      </c>
      <c r="N17" s="50" t="n">
        <f aca="false">N16+N13</f>
        <v>499192.5344</v>
      </c>
      <c r="O17" s="50" t="n">
        <f aca="false">O16+O13</f>
        <v>548233.054666666</v>
      </c>
      <c r="P17" s="50" t="n">
        <f aca="false">P16+P13</f>
        <v>548233.054666666</v>
      </c>
      <c r="Q17" s="50" t="n">
        <f aca="false">Q16+Q13</f>
        <v>548233.054666666</v>
      </c>
      <c r="R17" s="50" t="n">
        <f aca="false">Q17</f>
        <v>548233.054666666</v>
      </c>
    </row>
    <row r="19" customFormat="false" ht="15" hidden="false" customHeight="false" outlineLevel="0" collapsed="false">
      <c r="B19" s="3" t="s">
        <v>153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false" outlineLevel="0" collapsed="false">
      <c r="B20" s="30" t="s">
        <v>168</v>
      </c>
      <c r="C20" s="49" t="n">
        <f aca="false">AUX!C6</f>
        <v>96765.6594871795</v>
      </c>
      <c r="D20" s="49" t="n">
        <f aca="false">AUX!D6</f>
        <v>483828.297435897</v>
      </c>
      <c r="E20" s="49" t="n">
        <f aca="false">AUX!E6</f>
        <v>483828.297435897</v>
      </c>
      <c r="F20" s="49" t="n">
        <f aca="false">AUX!F6</f>
        <v>414709.969230769</v>
      </c>
      <c r="G20" s="49" t="n">
        <f aca="false">AUX!G6</f>
        <v>428533.634871795</v>
      </c>
      <c r="H20" s="49" t="n">
        <f aca="false">AUX!H6</f>
        <v>428533.634871795</v>
      </c>
      <c r="I20" s="49" t="n">
        <f aca="false">AUX!I6</f>
        <v>387062.637948718</v>
      </c>
      <c r="J20" s="49" t="n">
        <f aca="false">AUX!J6</f>
        <v>428533.634871795</v>
      </c>
      <c r="K20" s="49" t="n">
        <f aca="false">AUX!K6</f>
        <v>414709.969230769</v>
      </c>
      <c r="L20" s="49" t="n">
        <f aca="false">AUX!L6</f>
        <v>428533.634871795</v>
      </c>
      <c r="M20" s="49" t="n">
        <f aca="false">AUX!M6</f>
        <v>414709.969230769</v>
      </c>
      <c r="N20" s="49" t="n">
        <f aca="false">AUX!N6</f>
        <v>428533.634871795</v>
      </c>
      <c r="O20" s="49" t="n">
        <f aca="false">AUX!O6</f>
        <v>0</v>
      </c>
      <c r="P20" s="49" t="n">
        <f aca="false">AUX!P6</f>
        <v>0</v>
      </c>
      <c r="Q20" s="49" t="n">
        <f aca="false">AUX!Q6</f>
        <v>0</v>
      </c>
      <c r="R20" s="50" t="n">
        <f aca="false">SUM(C20:Q20)</f>
        <v>4838282.97435897</v>
      </c>
    </row>
    <row r="21" customFormat="false" ht="15" hidden="false" customHeight="false" outlineLevel="0" collapsed="false">
      <c r="B21" s="30" t="s">
        <v>169</v>
      </c>
      <c r="C21" s="36" t="n">
        <f aca="false">SUMPRODUCT((AUX!$C$8:$Q$8&gt;=C$5)*(AUX!$C$8:$Q$8&lt;=EOMONTH(C$5,0))*AUX!$C$6:$Q$6)</f>
        <v>0</v>
      </c>
      <c r="D21" s="36" t="n">
        <f aca="false">SUMPRODUCT((AUX!$C$8:$Q$8&gt;=D$5)*(AUX!$C$8:$Q$8&lt;=EOMONTH(D$5,0))*AUX!$C$6:$Q$6)</f>
        <v>96765.6594871795</v>
      </c>
      <c r="E21" s="36" t="n">
        <f aca="false">SUMPRODUCT((AUX!$C$8:$Q$8&gt;=E$5)*(AUX!$C$8:$Q$8&lt;=EOMONTH(E$5,0))*AUX!$C$6:$Q$6)</f>
        <v>483828.297435897</v>
      </c>
      <c r="F21" s="36" t="n">
        <f aca="false">SUMPRODUCT((AUX!$C$8:$Q$8&gt;=F$5)*(AUX!$C$8:$Q$8&lt;=EOMONTH(F$5,0))*AUX!$C$6:$Q$6)</f>
        <v>483828.297435897</v>
      </c>
      <c r="G21" s="36" t="n">
        <f aca="false">SUMPRODUCT((AUX!$C$8:$Q$8&gt;=G$5)*(AUX!$C$8:$Q$8&lt;=EOMONTH(G$5,0))*AUX!$C$6:$Q$6)</f>
        <v>414709.969230769</v>
      </c>
      <c r="H21" s="36" t="n">
        <f aca="false">SUMPRODUCT((AUX!$C$8:$Q$8&gt;=H$5)*(AUX!$C$8:$Q$8&lt;=EOMONTH(H$5,0))*AUX!$C$6:$Q$6)</f>
        <v>428533.634871795</v>
      </c>
      <c r="I21" s="36" t="n">
        <f aca="false">SUMPRODUCT((AUX!$C$8:$Q$8&gt;=I$5)*(AUX!$C$8:$Q$8&lt;=EOMONTH(I$5,0))*AUX!$C$6:$Q$6)</f>
        <v>428533.634871795</v>
      </c>
      <c r="J21" s="36" t="n">
        <f aca="false">SUMPRODUCT((AUX!$C$8:$Q$8&gt;=J$5)*(AUX!$C$8:$Q$8&lt;=EOMONTH(J$5,0))*AUX!$C$6:$Q$6)</f>
        <v>387062.637948718</v>
      </c>
      <c r="K21" s="36" t="n">
        <f aca="false">SUMPRODUCT((AUX!$C$8:$Q$8&gt;=K$5)*(AUX!$C$8:$Q$8&lt;=EOMONTH(K$5,0))*AUX!$C$6:$Q$6)</f>
        <v>428533.634871795</v>
      </c>
      <c r="L21" s="36" t="n">
        <f aca="false">SUMPRODUCT((AUX!$C$8:$Q$8&gt;=L$5)*(AUX!$C$8:$Q$8&lt;=EOMONTH(L$5,0))*AUX!$C$6:$Q$6)</f>
        <v>414709.969230769</v>
      </c>
      <c r="M21" s="36" t="n">
        <f aca="false">SUMPRODUCT((AUX!$C$8:$Q$8&gt;=M$5)*(AUX!$C$8:$Q$8&lt;=EOMONTH(M$5,0))*AUX!$C$6:$Q$6)</f>
        <v>428533.634871795</v>
      </c>
      <c r="N21" s="36" t="n">
        <f aca="false">SUMPRODUCT((AUX!$C$8:$Q$8&gt;=N$5)*(AUX!$C$8:$Q$8&lt;=EOMONTH(N$5,0))*AUX!$C$6:$Q$6)</f>
        <v>414709.969230769</v>
      </c>
      <c r="O21" s="36" t="n">
        <f aca="false">SUMPRODUCT((AUX!$C$8:$Q$8&gt;=O$5)*(AUX!$C$8:$Q$8&lt;=EOMONTH(O$5,0))*AUX!$C$6:$Q$6)</f>
        <v>428533.634871795</v>
      </c>
      <c r="P21" s="36" t="n">
        <f aca="false">SUMPRODUCT((AUX!$C$8:$Q$8&gt;=P$5)*(AUX!$C$8:$Q$8&lt;=EOMONTH(P$5,0))*AUX!$C$6:$Q$6)</f>
        <v>0</v>
      </c>
      <c r="Q21" s="36" t="n">
        <f aca="false">SUMPRODUCT((AUX!$C$8:$Q$8&gt;=Q$5)*(AUX!$C$8:$Q$8&lt;=EOMONTH(Q$5,0))*AUX!$C$6:$Q$6)</f>
        <v>0</v>
      </c>
      <c r="R21" s="50" t="n">
        <f aca="false">SUM(C21:Q21)</f>
        <v>4838282.97435897</v>
      </c>
    </row>
    <row r="22" customFormat="false" ht="15" hidden="false" customHeight="false" outlineLevel="0" collapsed="false">
      <c r="B22" s="30" t="s">
        <v>170</v>
      </c>
      <c r="C22" s="36" t="n">
        <v>0</v>
      </c>
      <c r="D22" s="36" t="n">
        <f aca="false">PREMISSAS!$C$60*AUX!C$9/PREMISSAS!$C$8+IF(D$5=EDATE(DATE(YEAR(PREMISSAS!$C$6),MONTH(PREMISSAS!$C$6),1),1),PREMISSAS!$C$58*0.5,0)</f>
        <v>138140.74</v>
      </c>
      <c r="E22" s="36" t="n">
        <f aca="false">PREMISSAS!$C$60*AUX!D$9/PREMISSAS!$C$8+IF(E$5=EDATE(DATE(YEAR(PREMISSAS!$C$6),MONTH(PREMISSAS!$C$6),1),1),PREMISSAS!$C$58*0.5,0)</f>
        <v>249561.48</v>
      </c>
      <c r="F22" s="36" t="n">
        <f aca="false">PREMISSAS!$C$60*AUX!E$9/PREMISSAS!$C$8+IF(F$5=EDATE(DATE(YEAR(PREMISSAS!$C$6),MONTH(PREMISSAS!$C$6),1),1),PREMISSAS!$C$58*0.5,0)</f>
        <v>257880.196</v>
      </c>
      <c r="G22" s="36" t="n">
        <f aca="false">PREMISSAS!$C$60*AUX!F$9/PREMISSAS!$C$8+IF(G$5=EDATE(DATE(YEAR(PREMISSAS!$C$6),MONTH(PREMISSAS!$C$6),1),1),PREMISSAS!$C$58*0.5,0)</f>
        <v>249561.48</v>
      </c>
      <c r="H22" s="36" t="n">
        <f aca="false">PREMISSAS!$C$60*AUX!G$9/PREMISSAS!$C$8+IF(H$5=EDATE(DATE(YEAR(PREMISSAS!$C$6),MONTH(PREMISSAS!$C$6),1),1),PREMISSAS!$C$58*0.5,0)</f>
        <v>257880.196</v>
      </c>
      <c r="I22" s="36" t="n">
        <f aca="false">PREMISSAS!$C$60*AUX!H$9/PREMISSAS!$C$8+IF(I$5=EDATE(DATE(YEAR(PREMISSAS!$C$6),MONTH(PREMISSAS!$C$6),1),1),PREMISSAS!$C$58*0.5,0)</f>
        <v>257880.196</v>
      </c>
      <c r="J22" s="36" t="n">
        <f aca="false">PREMISSAS!$C$60*AUX!I$9/PREMISSAS!$C$8+IF(J$5=EDATE(DATE(YEAR(PREMISSAS!$C$6),MONTH(PREMISSAS!$C$6),1),1),PREMISSAS!$C$58*0.5,0)</f>
        <v>232924.048</v>
      </c>
      <c r="K22" s="36" t="n">
        <f aca="false">PREMISSAS!$C$60*AUX!J$9/PREMISSAS!$C$8+IF(K$5=EDATE(DATE(YEAR(PREMISSAS!$C$6),MONTH(PREMISSAS!$C$6),1),1),PREMISSAS!$C$58*0.5,0)</f>
        <v>257880.196</v>
      </c>
      <c r="L22" s="36" t="n">
        <f aca="false">PREMISSAS!$C$60*AUX!K$9/PREMISSAS!$C$8+IF(L$5=EDATE(DATE(YEAR(PREMISSAS!$C$6),MONTH(PREMISSAS!$C$6),1),1),PREMISSAS!$C$58*0.5,0)</f>
        <v>249561.48</v>
      </c>
      <c r="M22" s="36" t="n">
        <f aca="false">PREMISSAS!$C$60*AUX!L$9/PREMISSAS!$C$8+IF(M$5=EDATE(DATE(YEAR(PREMISSAS!$C$6),MONTH(PREMISSAS!$C$6),1),1),PREMISSAS!$C$58*0.5,0)</f>
        <v>257880.196</v>
      </c>
      <c r="N22" s="36" t="n">
        <f aca="false">PREMISSAS!$C$60*AUX!M$9/PREMISSAS!$C$8+IF(N$5=EDATE(DATE(YEAR(PREMISSAS!$C$6),MONTH(PREMISSAS!$C$6),1),1),PREMISSAS!$C$58*0.5,0)</f>
        <v>249561.48</v>
      </c>
      <c r="O22" s="36" t="n">
        <f aca="false">PREMISSAS!$C$60*AUX!N$9/PREMISSAS!$C$8+IF(O$5=EDATE(DATE(YEAR(PREMISSAS!$C$6),MONTH(PREMISSAS!$C$6),1),1),PREMISSAS!$C$58*0.5,0)</f>
        <v>257880.196</v>
      </c>
      <c r="P22" s="36" t="n">
        <f aca="false">PREMISSAS!$C$60*AUX!O$9/PREMISSAS!$C$8+IF(P$5=EDATE(DATE(YEAR(PREMISSAS!$C$6),MONTH(PREMISSAS!$C$6),1),1),PREMISSAS!$C$58*0.5,0)</f>
        <v>0</v>
      </c>
      <c r="Q22" s="36" t="n">
        <f aca="false">PREMISSAS!$C$60*AUX!P$9/PREMISSAS!$C$8+IF(Q$5=EDATE(DATE(YEAR(PREMISSAS!$C$6),MONTH(PREMISSAS!$C$6),1),1),PREMISSAS!$C$58*0.5,0)</f>
        <v>0</v>
      </c>
      <c r="R22" s="50" t="n">
        <f aca="false">SUM(C22:Q22)</f>
        <v>2916591.884</v>
      </c>
    </row>
    <row r="23" customFormat="false" ht="15" hidden="false" customHeight="false" outlineLevel="0" collapsed="false">
      <c r="B23" s="30" t="s">
        <v>145</v>
      </c>
      <c r="C23" s="36" t="n">
        <f aca="false">IF(PREMISSAS!$C$48="MEDIÇÃO CHEIA",C21,MAX(0,C21-C22))*PREMISSAS!$C$10</f>
        <v>0</v>
      </c>
      <c r="D23" s="36" t="n">
        <f aca="false">IF(PREMISSAS!$C$48="MEDIÇÃO CHEIA",D21,MAX(0,D21-D22))*PREMISSAS!$C$10</f>
        <v>21288.4450871795</v>
      </c>
      <c r="E23" s="36" t="n">
        <f aca="false">IF(PREMISSAS!$C$48="MEDIÇÃO CHEIA",E21,MAX(0,E21-E22))*PREMISSAS!$C$10</f>
        <v>106442.225435897</v>
      </c>
      <c r="F23" s="36" t="n">
        <f aca="false">IF(PREMISSAS!$C$48="MEDIÇÃO CHEIA",F21,MAX(0,F21-F22))*PREMISSAS!$C$10</f>
        <v>106442.225435897</v>
      </c>
      <c r="G23" s="36" t="n">
        <f aca="false">IF(PREMISSAS!$C$48="MEDIÇÃO CHEIA",G21,MAX(0,G21-G22))*PREMISSAS!$C$10</f>
        <v>91236.1932307692</v>
      </c>
      <c r="H23" s="36" t="n">
        <f aca="false">IF(PREMISSAS!$C$48="MEDIÇÃO CHEIA",H21,MAX(0,H21-H22))*PREMISSAS!$C$10</f>
        <v>94277.3996717949</v>
      </c>
      <c r="I23" s="36" t="n">
        <f aca="false">IF(PREMISSAS!$C$48="MEDIÇÃO CHEIA",I21,MAX(0,I21-I22))*PREMISSAS!$C$10</f>
        <v>94277.3996717949</v>
      </c>
      <c r="J23" s="36" t="n">
        <f aca="false">IF(PREMISSAS!$C$48="MEDIÇÃO CHEIA",J21,MAX(0,J21-J22))*PREMISSAS!$C$10</f>
        <v>85153.7803487179</v>
      </c>
      <c r="K23" s="36" t="n">
        <f aca="false">IF(PREMISSAS!$C$48="MEDIÇÃO CHEIA",K21,MAX(0,K21-K22))*PREMISSAS!$C$10</f>
        <v>94277.3996717949</v>
      </c>
      <c r="L23" s="36" t="n">
        <f aca="false">IF(PREMISSAS!$C$48="MEDIÇÃO CHEIA",L21,MAX(0,L21-L22))*PREMISSAS!$C$10</f>
        <v>91236.1932307692</v>
      </c>
      <c r="M23" s="36" t="n">
        <f aca="false">IF(PREMISSAS!$C$48="MEDIÇÃO CHEIA",M21,MAX(0,M21-M22))*PREMISSAS!$C$10</f>
        <v>94277.3996717949</v>
      </c>
      <c r="N23" s="36" t="n">
        <f aca="false">IF(PREMISSAS!$C$48="MEDIÇÃO CHEIA",N21,MAX(0,N21-N22))*PREMISSAS!$C$10</f>
        <v>91236.1932307692</v>
      </c>
      <c r="O23" s="36" t="n">
        <f aca="false">IF(PREMISSAS!$C$48="MEDIÇÃO CHEIA",O21,MAX(0,O21-O22))*PREMISSAS!$C$10</f>
        <v>94277.3996717949</v>
      </c>
      <c r="P23" s="36" t="n">
        <f aca="false">IF(PREMISSAS!$C$48="MEDIÇÃO CHEIA",P21,MAX(0,P21-P22))*PREMISSAS!$C$10</f>
        <v>0</v>
      </c>
      <c r="Q23" s="36" t="n">
        <f aca="false">IF(PREMISSAS!$C$48="MEDIÇÃO CHEIA",Q21,MAX(0,Q21-Q22))*PREMISSAS!$C$10</f>
        <v>0</v>
      </c>
      <c r="R23" s="50" t="n">
        <f aca="false">SUM(C23:Q23)</f>
        <v>1064422.25435897</v>
      </c>
    </row>
    <row r="24" customFormat="false" ht="15" hidden="false" customHeight="false" outlineLevel="0" collapsed="false">
      <c r="B24" s="33" t="s">
        <v>171</v>
      </c>
      <c r="C24" s="50" t="n">
        <f aca="false">C21-C22-C23</f>
        <v>0</v>
      </c>
      <c r="D24" s="50" t="n">
        <f aca="false">D21-D22-D23</f>
        <v>-62663.5256</v>
      </c>
      <c r="E24" s="50" t="n">
        <f aca="false">E21-E22-E23</f>
        <v>127824.592</v>
      </c>
      <c r="F24" s="50" t="n">
        <f aca="false">F21-F22-F23</f>
        <v>119505.876</v>
      </c>
      <c r="G24" s="50" t="n">
        <f aca="false">G21-G22-G23</f>
        <v>73912.2959999999</v>
      </c>
      <c r="H24" s="50" t="n">
        <f aca="false">H21-H22-H23</f>
        <v>76376.0392</v>
      </c>
      <c r="I24" s="50" t="n">
        <f aca="false">I21-I22-I23</f>
        <v>76376.0392</v>
      </c>
      <c r="J24" s="50" t="n">
        <f aca="false">J21-J22-J23</f>
        <v>68984.8096</v>
      </c>
      <c r="K24" s="50" t="n">
        <f aca="false">K21-K22-K23</f>
        <v>76376.0392</v>
      </c>
      <c r="L24" s="50" t="n">
        <f aca="false">L21-L22-L23</f>
        <v>73912.2959999999</v>
      </c>
      <c r="M24" s="50" t="n">
        <f aca="false">M21-M22-M23</f>
        <v>76376.0392</v>
      </c>
      <c r="N24" s="50" t="n">
        <f aca="false">N21-N22-N23</f>
        <v>73912.2959999999</v>
      </c>
      <c r="O24" s="50" t="n">
        <f aca="false">O21-O22-O23</f>
        <v>76376.0392</v>
      </c>
      <c r="P24" s="50" t="n">
        <f aca="false">P21-P22-P23</f>
        <v>0</v>
      </c>
      <c r="Q24" s="50" t="n">
        <f aca="false">Q21-Q22-Q23</f>
        <v>0</v>
      </c>
      <c r="R24" s="50" t="n">
        <f aca="false">SUM(C24:Q24)</f>
        <v>857268.836</v>
      </c>
    </row>
    <row r="25" customFormat="false" ht="15" hidden="false" customHeight="false" outlineLevel="0" collapsed="false">
      <c r="B25" s="30" t="s">
        <v>172</v>
      </c>
      <c r="C25" s="36" t="n">
        <f aca="false">IF(C$5=DATE(YEAR(PREMISSAS!$C$6),MONTH(PREMISSAS!$C$6),1),PREMISSAS!$C$57*0.5,0)</f>
        <v>0</v>
      </c>
      <c r="D25" s="36" t="n">
        <f aca="false">PREMISSAS!$C$55*AUX!C$9/PREMISSAS!$C$8</f>
        <v>10000</v>
      </c>
      <c r="E25" s="36" t="n">
        <f aca="false">PREMISSAS!$C$55*AUX!D$9/PREMISSAS!$C$8</f>
        <v>20000</v>
      </c>
      <c r="F25" s="36" t="n">
        <f aca="false">PREMISSAS!$C$55*AUX!E$9/PREMISSAS!$C$8</f>
        <v>20666.6666666667</v>
      </c>
      <c r="G25" s="36" t="n">
        <f aca="false">PREMISSAS!$C$55*AUX!F$9/PREMISSAS!$C$8</f>
        <v>20000</v>
      </c>
      <c r="H25" s="36" t="n">
        <f aca="false">PREMISSAS!$C$55*AUX!G$9/PREMISSAS!$C$8</f>
        <v>20666.6666666667</v>
      </c>
      <c r="I25" s="36" t="n">
        <f aca="false">PREMISSAS!$C$55*AUX!H$9/PREMISSAS!$C$8</f>
        <v>20666.6666666667</v>
      </c>
      <c r="J25" s="36" t="n">
        <f aca="false">PREMISSAS!$C$55*AUX!I$9/PREMISSAS!$C$8</f>
        <v>18666.6666666667</v>
      </c>
      <c r="K25" s="36" t="n">
        <f aca="false">PREMISSAS!$C$55*AUX!J$9/PREMISSAS!$C$8</f>
        <v>20666.6666666667</v>
      </c>
      <c r="L25" s="36" t="n">
        <f aca="false">PREMISSAS!$C$55*AUX!K$9/PREMISSAS!$C$8</f>
        <v>20000</v>
      </c>
      <c r="M25" s="36" t="n">
        <f aca="false">PREMISSAS!$C$55*AUX!L$9/PREMISSAS!$C$8</f>
        <v>20666.6666666667</v>
      </c>
      <c r="N25" s="36" t="n">
        <f aca="false">PREMISSAS!$C$55*AUX!M$9/PREMISSAS!$C$8</f>
        <v>20000</v>
      </c>
      <c r="O25" s="36" t="n">
        <f aca="false">PREMISSAS!$C$55*AUX!N$9/PREMISSAS!$C$8</f>
        <v>20666.6666666667</v>
      </c>
      <c r="P25" s="36" t="n">
        <f aca="false">PREMISSAS!$C$55*AUX!O$9/PREMISSAS!$C$8</f>
        <v>0</v>
      </c>
      <c r="Q25" s="36" t="n">
        <f aca="false">PREMISSAS!$C$55*AUX!P$9/PREMISSAS!$C$8</f>
        <v>0</v>
      </c>
      <c r="R25" s="50" t="n">
        <f aca="false">SUM(C25:Q25)</f>
        <v>232666.666666667</v>
      </c>
    </row>
    <row r="26" customFormat="false" ht="15" hidden="false" customHeight="false" outlineLevel="0" collapsed="false">
      <c r="B26" s="30" t="s">
        <v>173</v>
      </c>
      <c r="C26" s="36" t="n">
        <f aca="false">C24-C25</f>
        <v>0</v>
      </c>
      <c r="D26" s="36" t="n">
        <f aca="false">D24-D25</f>
        <v>-72663.5256</v>
      </c>
      <c r="E26" s="36" t="n">
        <f aca="false">E24-E25</f>
        <v>107824.592</v>
      </c>
      <c r="F26" s="36" t="n">
        <f aca="false">F24-F25</f>
        <v>98839.2093333333</v>
      </c>
      <c r="G26" s="36" t="n">
        <f aca="false">G24-G25</f>
        <v>53912.2959999999</v>
      </c>
      <c r="H26" s="36" t="n">
        <f aca="false">H24-H25</f>
        <v>55709.3725333333</v>
      </c>
      <c r="I26" s="36" t="n">
        <f aca="false">I24-I25</f>
        <v>55709.3725333333</v>
      </c>
      <c r="J26" s="36" t="n">
        <f aca="false">J24-J25</f>
        <v>50318.1429333333</v>
      </c>
      <c r="K26" s="36" t="n">
        <f aca="false">K24-K25</f>
        <v>55709.3725333333</v>
      </c>
      <c r="L26" s="36" t="n">
        <f aca="false">L24-L25</f>
        <v>53912.2959999999</v>
      </c>
      <c r="M26" s="36" t="n">
        <f aca="false">M24-M25</f>
        <v>55709.3725333333</v>
      </c>
      <c r="N26" s="36" t="n">
        <f aca="false">N24-N25</f>
        <v>53912.2959999999</v>
      </c>
      <c r="O26" s="36" t="n">
        <f aca="false">O24-O25</f>
        <v>55709.3725333333</v>
      </c>
      <c r="P26" s="36" t="n">
        <f aca="false">P24-P25</f>
        <v>0</v>
      </c>
      <c r="Q26" s="36" t="n">
        <f aca="false">Q24-Q25</f>
        <v>0</v>
      </c>
      <c r="R26" s="50" t="n">
        <f aca="false">SUM(C26:Q26)</f>
        <v>624602.169333333</v>
      </c>
    </row>
    <row r="27" customFormat="false" ht="15" hidden="false" customHeight="false" outlineLevel="0" collapsed="false">
      <c r="B27" s="33" t="s">
        <v>174</v>
      </c>
      <c r="C27" s="50" t="n">
        <f aca="false">-C25</f>
        <v>-0</v>
      </c>
      <c r="D27" s="50" t="n">
        <f aca="false">C28-D25</f>
        <v>-10000</v>
      </c>
      <c r="E27" s="50" t="n">
        <f aca="false">D28-E25</f>
        <v>-92663.5256</v>
      </c>
      <c r="F27" s="50" t="n">
        <f aca="false">E28-F25</f>
        <v>14494.3997333333</v>
      </c>
      <c r="G27" s="50" t="n">
        <f aca="false">F28-G25</f>
        <v>114000.275733333</v>
      </c>
      <c r="H27" s="50" t="n">
        <f aca="false">G28-H25</f>
        <v>167245.905066667</v>
      </c>
      <c r="I27" s="50" t="n">
        <f aca="false">H28-I25</f>
        <v>222955.2776</v>
      </c>
      <c r="J27" s="50" t="n">
        <f aca="false">I28-J25</f>
        <v>280664.650133333</v>
      </c>
      <c r="K27" s="50" t="n">
        <f aca="false">J28-K25</f>
        <v>328982.793066666</v>
      </c>
      <c r="L27" s="50" t="n">
        <f aca="false">K28-L25</f>
        <v>385358.832266666</v>
      </c>
      <c r="M27" s="50" t="n">
        <f aca="false">L28-M25</f>
        <v>438604.4616</v>
      </c>
      <c r="N27" s="50" t="n">
        <f aca="false">M28-N25</f>
        <v>494980.5008</v>
      </c>
      <c r="O27" s="50" t="n">
        <f aca="false">N28-O25</f>
        <v>548226.130133333</v>
      </c>
      <c r="P27" s="50" t="n">
        <f aca="false">O28-P25</f>
        <v>624602.169333333</v>
      </c>
      <c r="Q27" s="50" t="n">
        <f aca="false">P28-Q25</f>
        <v>624602.169333333</v>
      </c>
      <c r="R27" s="51" t="n">
        <f aca="false">MIN(C27:Q27)</f>
        <v>-92663.5256</v>
      </c>
    </row>
    <row r="28" customFormat="false" ht="15" hidden="false" customHeight="false" outlineLevel="0" collapsed="false">
      <c r="B28" s="33" t="s">
        <v>175</v>
      </c>
      <c r="C28" s="50" t="n">
        <f aca="false">C27+C24</f>
        <v>0</v>
      </c>
      <c r="D28" s="50" t="n">
        <f aca="false">D27+D24</f>
        <v>-72663.5256</v>
      </c>
      <c r="E28" s="50" t="n">
        <f aca="false">E27+E24</f>
        <v>35161.0663999999</v>
      </c>
      <c r="F28" s="50" t="n">
        <f aca="false">F27+F24</f>
        <v>134000.275733333</v>
      </c>
      <c r="G28" s="50" t="n">
        <f aca="false">G27+G24</f>
        <v>187912.571733333</v>
      </c>
      <c r="H28" s="50" t="n">
        <f aca="false">H27+H24</f>
        <v>243621.944266666</v>
      </c>
      <c r="I28" s="50" t="n">
        <f aca="false">I27+I24</f>
        <v>299331.3168</v>
      </c>
      <c r="J28" s="50" t="n">
        <f aca="false">J27+J24</f>
        <v>349649.459733333</v>
      </c>
      <c r="K28" s="50" t="n">
        <f aca="false">K27+K24</f>
        <v>405358.832266666</v>
      </c>
      <c r="L28" s="50" t="n">
        <f aca="false">L27+L24</f>
        <v>459271.128266666</v>
      </c>
      <c r="M28" s="50" t="n">
        <f aca="false">M27+M24</f>
        <v>514980.5008</v>
      </c>
      <c r="N28" s="50" t="n">
        <f aca="false">N27+N24</f>
        <v>568892.7968</v>
      </c>
      <c r="O28" s="50" t="n">
        <f aca="false">O27+O24</f>
        <v>624602.169333333</v>
      </c>
      <c r="P28" s="50" t="n">
        <f aca="false">P27+P24</f>
        <v>624602.169333333</v>
      </c>
      <c r="Q28" s="50" t="n">
        <f aca="false">Q27+Q24</f>
        <v>624602.169333333</v>
      </c>
      <c r="R28" s="50" t="n">
        <f aca="false">Q28</f>
        <v>624602.169333333</v>
      </c>
    </row>
    <row r="30" customFormat="false" ht="15" hidden="false" customHeight="false" outlineLevel="0" collapsed="false">
      <c r="B30" s="3" t="s">
        <v>154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false" outlineLevel="0" collapsed="false">
      <c r="B31" s="30" t="s">
        <v>176</v>
      </c>
      <c r="C31" s="36" t="n">
        <f aca="false">C9+C20</f>
        <v>181947.704615385</v>
      </c>
      <c r="D31" s="36" t="n">
        <f aca="false">D9+D20</f>
        <v>909738.523076923</v>
      </c>
      <c r="E31" s="36" t="n">
        <f aca="false">E9+E20</f>
        <v>909738.523076923</v>
      </c>
      <c r="F31" s="36" t="n">
        <f aca="false">F9+F20</f>
        <v>779775.876923077</v>
      </c>
      <c r="G31" s="36" t="n">
        <f aca="false">G9+G20</f>
        <v>805768.406153846</v>
      </c>
      <c r="H31" s="36" t="n">
        <f aca="false">H9+H20</f>
        <v>805768.406153846</v>
      </c>
      <c r="I31" s="36" t="n">
        <f aca="false">I9+I20</f>
        <v>727790.818461538</v>
      </c>
      <c r="J31" s="36" t="n">
        <f aca="false">J9+J20</f>
        <v>805768.406153846</v>
      </c>
      <c r="K31" s="36" t="n">
        <f aca="false">K9+K20</f>
        <v>779775.876923077</v>
      </c>
      <c r="L31" s="36" t="n">
        <f aca="false">L9+L20</f>
        <v>805768.406153846</v>
      </c>
      <c r="M31" s="36" t="n">
        <f aca="false">M9+M20</f>
        <v>779775.876923077</v>
      </c>
      <c r="N31" s="36" t="n">
        <f aca="false">N9+N20</f>
        <v>805768.406153846</v>
      </c>
      <c r="O31" s="36" t="n">
        <f aca="false">O9+O20</f>
        <v>0</v>
      </c>
      <c r="P31" s="36" t="n">
        <f aca="false">P9+P20</f>
        <v>0</v>
      </c>
      <c r="Q31" s="36" t="n">
        <f aca="false">Q9+Q20</f>
        <v>0</v>
      </c>
      <c r="R31" s="50" t="n">
        <f aca="false">SUM(C31:Q31)</f>
        <v>9097385.23076923</v>
      </c>
    </row>
    <row r="32" customFormat="false" ht="15" hidden="false" customHeight="false" outlineLevel="0" collapsed="false">
      <c r="B32" s="30" t="s">
        <v>177</v>
      </c>
      <c r="C32" s="36" t="n">
        <f aca="false">C10+C21</f>
        <v>0</v>
      </c>
      <c r="D32" s="36" t="n">
        <f aca="false">D10+D21</f>
        <v>181947.704615385</v>
      </c>
      <c r="E32" s="36" t="n">
        <f aca="false">E10+E21</f>
        <v>909738.523076923</v>
      </c>
      <c r="F32" s="36" t="n">
        <f aca="false">F10+F21</f>
        <v>909738.523076923</v>
      </c>
      <c r="G32" s="36" t="n">
        <f aca="false">G10+G21</f>
        <v>779775.876923077</v>
      </c>
      <c r="H32" s="36" t="n">
        <f aca="false">H10+H21</f>
        <v>805768.406153846</v>
      </c>
      <c r="I32" s="36" t="n">
        <f aca="false">I10+I21</f>
        <v>805768.406153846</v>
      </c>
      <c r="J32" s="36" t="n">
        <f aca="false">J10+J21</f>
        <v>727790.818461538</v>
      </c>
      <c r="K32" s="36" t="n">
        <f aca="false">K10+K21</f>
        <v>805768.406153846</v>
      </c>
      <c r="L32" s="36" t="n">
        <f aca="false">L10+L21</f>
        <v>779775.876923077</v>
      </c>
      <c r="M32" s="36" t="n">
        <f aca="false">M10+M21</f>
        <v>805768.406153846</v>
      </c>
      <c r="N32" s="36" t="n">
        <f aca="false">N10+N21</f>
        <v>779775.876923077</v>
      </c>
      <c r="O32" s="36" t="n">
        <f aca="false">O10+O21</f>
        <v>805768.406153846</v>
      </c>
      <c r="P32" s="36" t="n">
        <f aca="false">P10+P21</f>
        <v>0</v>
      </c>
      <c r="Q32" s="36" t="n">
        <f aca="false">Q10+Q21</f>
        <v>0</v>
      </c>
      <c r="R32" s="50" t="n">
        <f aca="false">SUM(C32:Q32)</f>
        <v>9097385.23076923</v>
      </c>
    </row>
    <row r="33" customFormat="false" ht="15" hidden="false" customHeight="false" outlineLevel="0" collapsed="false">
      <c r="B33" s="30" t="s">
        <v>178</v>
      </c>
      <c r="C33" s="36" t="n">
        <f aca="false">C11+C22</f>
        <v>0</v>
      </c>
      <c r="D33" s="36" t="n">
        <f aca="false">D11+D22</f>
        <v>260147.16</v>
      </c>
      <c r="E33" s="36" t="n">
        <f aca="false">E11+E22</f>
        <v>466854.32</v>
      </c>
      <c r="F33" s="36" t="n">
        <f aca="false">F11+F22</f>
        <v>482416.130666667</v>
      </c>
      <c r="G33" s="36" t="n">
        <f aca="false">G11+G22</f>
        <v>466854.32</v>
      </c>
      <c r="H33" s="36" t="n">
        <f aca="false">H11+H22</f>
        <v>482416.130666667</v>
      </c>
      <c r="I33" s="36" t="n">
        <f aca="false">I11+I22</f>
        <v>482416.130666667</v>
      </c>
      <c r="J33" s="36" t="n">
        <f aca="false">J11+J22</f>
        <v>435730.698666667</v>
      </c>
      <c r="K33" s="36" t="n">
        <f aca="false">K11+K22</f>
        <v>482416.130666667</v>
      </c>
      <c r="L33" s="36" t="n">
        <f aca="false">L11+L22</f>
        <v>466854.32</v>
      </c>
      <c r="M33" s="36" t="n">
        <f aca="false">M11+M22</f>
        <v>482416.130666667</v>
      </c>
      <c r="N33" s="36" t="n">
        <f aca="false">N11+N22</f>
        <v>466854.32</v>
      </c>
      <c r="O33" s="36" t="n">
        <f aca="false">O11+O22</f>
        <v>482416.130666667</v>
      </c>
      <c r="P33" s="36" t="n">
        <f aca="false">P11+P22</f>
        <v>0</v>
      </c>
      <c r="Q33" s="36" t="n">
        <f aca="false">Q11+Q22</f>
        <v>0</v>
      </c>
      <c r="R33" s="50" t="n">
        <f aca="false">SUM(C33:Q33)</f>
        <v>5457791.92266667</v>
      </c>
    </row>
    <row r="34" customFormat="false" ht="15" hidden="false" customHeight="false" outlineLevel="0" collapsed="false">
      <c r="B34" s="30" t="s">
        <v>145</v>
      </c>
      <c r="C34" s="36" t="n">
        <f aca="false">C12+C23</f>
        <v>0</v>
      </c>
      <c r="D34" s="36" t="n">
        <f aca="false">D12+D23</f>
        <v>40028.4950153846</v>
      </c>
      <c r="E34" s="36" t="n">
        <f aca="false">E12+E23</f>
        <v>200142.475076923</v>
      </c>
      <c r="F34" s="36" t="n">
        <f aca="false">F12+F23</f>
        <v>200142.475076923</v>
      </c>
      <c r="G34" s="36" t="n">
        <f aca="false">G12+G23</f>
        <v>171550.692923077</v>
      </c>
      <c r="H34" s="36" t="n">
        <f aca="false">H12+H23</f>
        <v>177269.049353846</v>
      </c>
      <c r="I34" s="36" t="n">
        <f aca="false">I12+I23</f>
        <v>177269.049353846</v>
      </c>
      <c r="J34" s="36" t="n">
        <f aca="false">J12+J23</f>
        <v>160113.980061538</v>
      </c>
      <c r="K34" s="36" t="n">
        <f aca="false">K12+K23</f>
        <v>177269.049353846</v>
      </c>
      <c r="L34" s="36" t="n">
        <f aca="false">L12+L23</f>
        <v>171550.692923077</v>
      </c>
      <c r="M34" s="36" t="n">
        <f aca="false">M12+M23</f>
        <v>177269.049353846</v>
      </c>
      <c r="N34" s="36" t="n">
        <f aca="false">N12+N23</f>
        <v>171550.692923077</v>
      </c>
      <c r="O34" s="36" t="n">
        <f aca="false">O12+O23</f>
        <v>177269.049353846</v>
      </c>
      <c r="P34" s="36" t="n">
        <f aca="false">P12+P23</f>
        <v>0</v>
      </c>
      <c r="Q34" s="36" t="n">
        <f aca="false">Q12+Q23</f>
        <v>0</v>
      </c>
      <c r="R34" s="50" t="n">
        <f aca="false">SUM(C34:Q34)</f>
        <v>2001424.75076923</v>
      </c>
    </row>
    <row r="35" customFormat="false" ht="15" hidden="false" customHeight="false" outlineLevel="0" collapsed="false">
      <c r="B35" s="33" t="s">
        <v>171</v>
      </c>
      <c r="C35" s="50" t="n">
        <f aca="false">C13+C24</f>
        <v>0</v>
      </c>
      <c r="D35" s="50" t="n">
        <f aca="false">D13+D24</f>
        <v>-118227.9504</v>
      </c>
      <c r="E35" s="50" t="n">
        <f aca="false">E13+E24</f>
        <v>242741.728</v>
      </c>
      <c r="F35" s="50" t="n">
        <f aca="false">F13+F24</f>
        <v>227179.917333333</v>
      </c>
      <c r="G35" s="50" t="n">
        <f aca="false">G13+G24</f>
        <v>141370.864</v>
      </c>
      <c r="H35" s="50" t="n">
        <f aca="false">H13+H24</f>
        <v>146083.226133333</v>
      </c>
      <c r="I35" s="50" t="n">
        <f aca="false">I13+I24</f>
        <v>146083.226133333</v>
      </c>
      <c r="J35" s="50" t="n">
        <f aca="false">J13+J24</f>
        <v>131946.139733333</v>
      </c>
      <c r="K35" s="50" t="n">
        <f aca="false">K13+K24</f>
        <v>146083.226133333</v>
      </c>
      <c r="L35" s="50" t="n">
        <f aca="false">L13+L24</f>
        <v>141370.864</v>
      </c>
      <c r="M35" s="50" t="n">
        <f aca="false">M13+M24</f>
        <v>146083.226133333</v>
      </c>
      <c r="N35" s="50" t="n">
        <f aca="false">N13+N24</f>
        <v>141370.864</v>
      </c>
      <c r="O35" s="50" t="n">
        <f aca="false">O13+O24</f>
        <v>146083.226133333</v>
      </c>
      <c r="P35" s="50" t="n">
        <f aca="false">P13+P24</f>
        <v>0</v>
      </c>
      <c r="Q35" s="50" t="n">
        <f aca="false">Q13+Q24</f>
        <v>0</v>
      </c>
      <c r="R35" s="50" t="n">
        <f aca="false">SUM(C35:Q35)</f>
        <v>1638168.55733333</v>
      </c>
    </row>
    <row r="36" customFormat="false" ht="15" hidden="false" customHeight="false" outlineLevel="0" collapsed="false">
      <c r="B36" s="30" t="s">
        <v>179</v>
      </c>
      <c r="C36" s="36" t="n">
        <f aca="false">C14+C25</f>
        <v>0</v>
      </c>
      <c r="D36" s="36" t="n">
        <f aca="false">D14+D25</f>
        <v>20000</v>
      </c>
      <c r="E36" s="36" t="n">
        <f aca="false">E14+E25</f>
        <v>40000</v>
      </c>
      <c r="F36" s="36" t="n">
        <f aca="false">F14+F25</f>
        <v>41333.3333333333</v>
      </c>
      <c r="G36" s="36" t="n">
        <f aca="false">G14+G25</f>
        <v>40000</v>
      </c>
      <c r="H36" s="36" t="n">
        <f aca="false">H14+H25</f>
        <v>41333.3333333333</v>
      </c>
      <c r="I36" s="36" t="n">
        <f aca="false">I14+I25</f>
        <v>41333.3333333333</v>
      </c>
      <c r="J36" s="36" t="n">
        <f aca="false">J14+J25</f>
        <v>37333.3333333333</v>
      </c>
      <c r="K36" s="36" t="n">
        <f aca="false">K14+K25</f>
        <v>41333.3333333333</v>
      </c>
      <c r="L36" s="36" t="n">
        <f aca="false">L14+L25</f>
        <v>40000</v>
      </c>
      <c r="M36" s="36" t="n">
        <f aca="false">M14+M25</f>
        <v>41333.3333333333</v>
      </c>
      <c r="N36" s="36" t="n">
        <f aca="false">N14+N25</f>
        <v>40000</v>
      </c>
      <c r="O36" s="36" t="n">
        <f aca="false">O14+O25</f>
        <v>41333.3333333333</v>
      </c>
      <c r="P36" s="36" t="n">
        <f aca="false">P14+P25</f>
        <v>0</v>
      </c>
      <c r="Q36" s="36" t="n">
        <f aca="false">Q14+Q25</f>
        <v>0</v>
      </c>
      <c r="R36" s="50" t="n">
        <f aca="false">SUM(C36:Q36)</f>
        <v>465333.333333333</v>
      </c>
    </row>
    <row r="37" customFormat="false" ht="15" hidden="false" customHeight="false" outlineLevel="0" collapsed="false">
      <c r="B37" s="30" t="s">
        <v>173</v>
      </c>
      <c r="C37" s="36" t="n">
        <f aca="false">C35-C36</f>
        <v>0</v>
      </c>
      <c r="D37" s="36" t="n">
        <f aca="false">D35-D36</f>
        <v>-138227.9504</v>
      </c>
      <c r="E37" s="36" t="n">
        <f aca="false">E35-E36</f>
        <v>202741.728</v>
      </c>
      <c r="F37" s="36" t="n">
        <f aca="false">F35-F36</f>
        <v>185846.584</v>
      </c>
      <c r="G37" s="36" t="n">
        <f aca="false">G35-G36</f>
        <v>101370.864</v>
      </c>
      <c r="H37" s="36" t="n">
        <f aca="false">H35-H36</f>
        <v>104749.8928</v>
      </c>
      <c r="I37" s="36" t="n">
        <f aca="false">I35-I36</f>
        <v>104749.8928</v>
      </c>
      <c r="J37" s="36" t="n">
        <f aca="false">J35-J36</f>
        <v>94612.8063999999</v>
      </c>
      <c r="K37" s="36" t="n">
        <f aca="false">K35-K36</f>
        <v>104749.8928</v>
      </c>
      <c r="L37" s="36" t="n">
        <f aca="false">L35-L36</f>
        <v>101370.864</v>
      </c>
      <c r="M37" s="36" t="n">
        <f aca="false">M35-M36</f>
        <v>104749.8928</v>
      </c>
      <c r="N37" s="36" t="n">
        <f aca="false">N35-N36</f>
        <v>101370.864</v>
      </c>
      <c r="O37" s="36" t="n">
        <f aca="false">O35-O36</f>
        <v>104749.8928</v>
      </c>
      <c r="P37" s="36" t="n">
        <f aca="false">P35-P36</f>
        <v>0</v>
      </c>
      <c r="Q37" s="36" t="n">
        <f aca="false">Q35-Q36</f>
        <v>0</v>
      </c>
      <c r="R37" s="50" t="n">
        <f aca="false">SUM(C37:Q37)</f>
        <v>1172835.224</v>
      </c>
    </row>
    <row r="38" customFormat="false" ht="15" hidden="false" customHeight="false" outlineLevel="0" collapsed="false">
      <c r="B38" s="33" t="s">
        <v>174</v>
      </c>
      <c r="C38" s="50" t="n">
        <f aca="false">-C36</f>
        <v>-0</v>
      </c>
      <c r="D38" s="50" t="n">
        <f aca="false">C39-D36</f>
        <v>-20000</v>
      </c>
      <c r="E38" s="50" t="n">
        <f aca="false">D39-E36</f>
        <v>-178227.9504</v>
      </c>
      <c r="F38" s="50" t="n">
        <f aca="false">E39-F36</f>
        <v>23180.4442666665</v>
      </c>
      <c r="G38" s="50" t="n">
        <f aca="false">F39-G36</f>
        <v>210360.3616</v>
      </c>
      <c r="H38" s="50" t="n">
        <f aca="false">G39-H36</f>
        <v>310397.892266666</v>
      </c>
      <c r="I38" s="50" t="n">
        <f aca="false">H39-I36</f>
        <v>415147.785066666</v>
      </c>
      <c r="J38" s="50" t="n">
        <f aca="false">I39-J36</f>
        <v>523897.677866666</v>
      </c>
      <c r="K38" s="50" t="n">
        <f aca="false">J39-K36</f>
        <v>614510.484266666</v>
      </c>
      <c r="L38" s="50" t="n">
        <f aca="false">K39-L36</f>
        <v>720593.710399999</v>
      </c>
      <c r="M38" s="50" t="n">
        <f aca="false">L39-M36</f>
        <v>820631.241066666</v>
      </c>
      <c r="N38" s="50" t="n">
        <f aca="false">M39-N36</f>
        <v>926714.467199999</v>
      </c>
      <c r="O38" s="50" t="n">
        <f aca="false">N39-O36</f>
        <v>1026751.99786667</v>
      </c>
      <c r="P38" s="50" t="n">
        <f aca="false">O39-P36</f>
        <v>1172835.224</v>
      </c>
      <c r="Q38" s="50" t="n">
        <f aca="false">P39-Q36</f>
        <v>1172835.224</v>
      </c>
      <c r="R38" s="51" t="n">
        <f aca="false">MIN(C38:Q38)</f>
        <v>-178227.9504</v>
      </c>
    </row>
    <row r="39" customFormat="false" ht="15" hidden="false" customHeight="false" outlineLevel="0" collapsed="false">
      <c r="B39" s="33" t="s">
        <v>175</v>
      </c>
      <c r="C39" s="50" t="n">
        <f aca="false">C38+C35</f>
        <v>0</v>
      </c>
      <c r="D39" s="50" t="n">
        <f aca="false">D38+D35</f>
        <v>-138227.9504</v>
      </c>
      <c r="E39" s="50" t="n">
        <f aca="false">E38+E35</f>
        <v>64513.7775999999</v>
      </c>
      <c r="F39" s="50" t="n">
        <f aca="false">F38+F35</f>
        <v>250360.3616</v>
      </c>
      <c r="G39" s="50" t="n">
        <f aca="false">G38+G35</f>
        <v>351731.2256</v>
      </c>
      <c r="H39" s="50" t="n">
        <f aca="false">H38+H35</f>
        <v>456481.1184</v>
      </c>
      <c r="I39" s="50" t="n">
        <f aca="false">I38+I35</f>
        <v>561231.0112</v>
      </c>
      <c r="J39" s="50" t="n">
        <f aca="false">J38+J35</f>
        <v>655843.8176</v>
      </c>
      <c r="K39" s="50" t="n">
        <f aca="false">K38+K35</f>
        <v>760593.710399999</v>
      </c>
      <c r="L39" s="50" t="n">
        <f aca="false">L38+L35</f>
        <v>861964.574399999</v>
      </c>
      <c r="M39" s="50" t="n">
        <f aca="false">M38+M35</f>
        <v>966714.467199999</v>
      </c>
      <c r="N39" s="50" t="n">
        <f aca="false">N38+N35</f>
        <v>1068085.3312</v>
      </c>
      <c r="O39" s="50" t="n">
        <f aca="false">O38+O35</f>
        <v>1172835.224</v>
      </c>
      <c r="P39" s="50" t="n">
        <f aca="false">P38+P35</f>
        <v>1172835.224</v>
      </c>
      <c r="Q39" s="50" t="n">
        <f aca="false">Q38+Q35</f>
        <v>1172835.224</v>
      </c>
      <c r="R39" s="50" t="n">
        <f aca="false">Q39</f>
        <v>1172835.224</v>
      </c>
    </row>
    <row r="41" customFormat="false" ht="15" hidden="false" customHeight="false" outlineLevel="0" collapsed="false">
      <c r="B41" s="3" t="s">
        <v>180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9.4" hidden="false" customHeight="true" outlineLevel="0" collapsed="false">
      <c r="B42" s="33" t="s">
        <v>181</v>
      </c>
      <c r="C42" s="52" t="n">
        <f aca="false">MAX(0,-MIN(C38:Q38))</f>
        <v>178227.9504</v>
      </c>
      <c r="D42" s="52"/>
      <c r="F42" s="40" t="s">
        <v>182</v>
      </c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</row>
    <row r="43" customFormat="false" ht="15" hidden="false" customHeight="false" outlineLevel="0" collapsed="false">
      <c r="B43" s="30" t="s">
        <v>183</v>
      </c>
      <c r="C43" s="36" t="n">
        <f aca="false">C42*PREMISSAS!$C$38</f>
        <v>26734.19256</v>
      </c>
      <c r="D43" s="36"/>
    </row>
    <row r="44" customFormat="false" ht="15" hidden="false" customHeight="false" outlineLevel="0" collapsed="false">
      <c r="B44" s="53" t="s">
        <v>184</v>
      </c>
      <c r="C44" s="54" t="n">
        <f aca="false">C42+C43</f>
        <v>204962.14296</v>
      </c>
      <c r="D44" s="54"/>
    </row>
    <row r="45" customFormat="false" ht="15" hidden="false" customHeight="false" outlineLevel="0" collapsed="false">
      <c r="B45" s="30" t="s">
        <v>185</v>
      </c>
      <c r="C45" s="36" t="n">
        <f aca="false">Q39</f>
        <v>1172835.224</v>
      </c>
      <c r="D45" s="36"/>
    </row>
    <row r="46" customFormat="false" ht="15" hidden="false" customHeight="true" outlineLevel="0" collapsed="false">
      <c r="B46" s="30" t="s">
        <v>186</v>
      </c>
      <c r="C46" s="49" t="n">
        <f aca="false">ECONÔMICO!Q18</f>
        <v>1172835.224</v>
      </c>
      <c r="D46" s="49"/>
      <c r="F46" s="40" t="s">
        <v>187</v>
      </c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</row>
    <row r="48" customFormat="false" ht="15" hidden="false" customHeight="false" outlineLevel="0" collapsed="false">
      <c r="B48" s="3" t="s">
        <v>188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22.35" hidden="false" customHeight="false" outlineLevel="0" collapsed="false">
      <c r="B49" s="27" t="s">
        <v>189</v>
      </c>
      <c r="C49" s="27" t="s">
        <v>190</v>
      </c>
      <c r="D49" s="27" t="s">
        <v>191</v>
      </c>
      <c r="E49" s="27" t="s">
        <v>192</v>
      </c>
      <c r="F49" s="27" t="s">
        <v>193</v>
      </c>
      <c r="G49" s="27" t="s">
        <v>194</v>
      </c>
      <c r="H49" s="27"/>
    </row>
    <row r="50" customFormat="false" ht="15" hidden="false" customHeight="false" outlineLevel="0" collapsed="false">
      <c r="B50" s="55" t="s">
        <v>46</v>
      </c>
      <c r="C50" s="56" t="n">
        <f aca="false">PREMISSAS!C14</f>
        <v>0</v>
      </c>
      <c r="D50" s="36" t="n">
        <f aca="false">PREMISSAS!$C$30*(1+C50)/(1-PREMISSAS!$C$10)*(1-IF(PREMISSAS!$C$48="MEDIÇÃO CHEIA",PREMISSAS!$C$10,0))-PREMISSAS!$C$61-IF(PREMISSAS!$C$48="LÍQUIDA DO DESCONTO",(PREMISSAS!$C$30*(1+C50)/(1-PREMISSAS!$C$10)-PREMISSAS!$C$61)*PREMISSAS!$C$10,0)</f>
        <v>39999.9999999999</v>
      </c>
      <c r="E50" s="49" t="n">
        <f aca="false">AUX!S14</f>
        <v>186319.341333334</v>
      </c>
      <c r="F50" s="50" t="n">
        <f aca="false">E50*(1+PREMISSAS!$C$38)</f>
        <v>214267.242533334</v>
      </c>
      <c r="G50" s="49" t="n">
        <f aca="false">AUX!S15</f>
        <v>-144986.008000001</v>
      </c>
      <c r="H50" s="57" t="str">
        <f aca="false">IF(B50=PREMISSAS!$C$13,"◀ adotado","")</f>
        <v/>
      </c>
    </row>
    <row r="51" customFormat="false" ht="15" hidden="false" customHeight="false" outlineLevel="0" collapsed="false">
      <c r="B51" s="55" t="s">
        <v>49</v>
      </c>
      <c r="C51" s="56" t="n">
        <f aca="false">PREMISSAS!C15</f>
        <v>0.1</v>
      </c>
      <c r="D51" s="36" t="n">
        <f aca="false">PREMISSAS!$C$30*(1+C51)/(1-PREMISSAS!$C$10)*(1-IF(PREMISSAS!$C$48="MEDIÇÃO CHEIA",PREMISSAS!$C$10,0))-PREMISSAS!$C$61-IF(PREMISSAS!$C$48="LÍQUIDA DO DESCONTO",(PREMISSAS!$C$30*(1+C51)/(1-PREMISSAS!$C$10)-PREMISSAS!$C$61)*PREMISSAS!$C$10,0)</f>
        <v>90685.432</v>
      </c>
      <c r="E51" s="49" t="n">
        <f aca="false">AUX!S20</f>
        <v>171469.8928</v>
      </c>
      <c r="F51" s="50" t="n">
        <f aca="false">E51*(1+PREMISSAS!$C$38)</f>
        <v>197190.37672</v>
      </c>
      <c r="G51" s="49" t="n">
        <f aca="false">AUX!S21</f>
        <v>432827.9168</v>
      </c>
      <c r="H51" s="57" t="str">
        <f aca="false">IF(B51=PREMISSAS!$C$13,"◀ adotado","")</f>
        <v/>
      </c>
    </row>
    <row r="52" customFormat="false" ht="15" hidden="false" customHeight="false" outlineLevel="0" collapsed="false">
      <c r="B52" s="55" t="s">
        <v>52</v>
      </c>
      <c r="C52" s="56" t="n">
        <f aca="false">PREMISSAS!C16</f>
        <v>0.15</v>
      </c>
      <c r="D52" s="36" t="n">
        <f aca="false">PREMISSAS!$C$30*(1+C52)/(1-PREMISSAS!$C$10)*(1-IF(PREMISSAS!$C$48="MEDIÇÃO CHEIA",PREMISSAS!$C$10,0))-PREMISSAS!$C$61-IF(PREMISSAS!$C$48="LÍQUIDA DO DESCONTO",(PREMISSAS!$C$30*(1+C52)/(1-PREMISSAS!$C$10)-PREMISSAS!$C$61)*PREMISSAS!$C$10,0)</f>
        <v>116028.148</v>
      </c>
      <c r="E52" s="49" t="n">
        <f aca="false">AUX!S26</f>
        <v>164711.8352</v>
      </c>
      <c r="F52" s="50" t="n">
        <f aca="false">E52*(1+PREMISSAS!$C$38)</f>
        <v>189418.61048</v>
      </c>
      <c r="G52" s="49" t="n">
        <f aca="false">AUX!S27</f>
        <v>721734.8792</v>
      </c>
      <c r="H52" s="57" t="str">
        <f aca="false">IF(B52=PREMISSAS!$C$13,"◀ adotado","")</f>
        <v/>
      </c>
    </row>
    <row r="53" customFormat="false" ht="15" hidden="false" customHeight="false" outlineLevel="0" collapsed="false">
      <c r="B53" s="55" t="s">
        <v>43</v>
      </c>
      <c r="C53" s="56" t="n">
        <f aca="false">PREMISSAS!C17</f>
        <v>0.2</v>
      </c>
      <c r="D53" s="36" t="n">
        <f aca="false">PREMISSAS!$C$30*(1+C53)/(1-PREMISSAS!$C$10)*(1-IF(PREMISSAS!$C$48="MEDIÇÃO CHEIA",PREMISSAS!$C$10,0))-PREMISSAS!$C$61-IF(PREMISSAS!$C$48="LÍQUIDA DO DESCONTO",(PREMISSAS!$C$30*(1+C53)/(1-PREMISSAS!$C$10)-PREMISSAS!$C$61)*PREMISSAS!$C$10,0)</f>
        <v>141370.864</v>
      </c>
      <c r="E53" s="49" t="n">
        <f aca="false">AUX!S32</f>
        <v>157953.7776</v>
      </c>
      <c r="F53" s="50" t="n">
        <f aca="false">E53*(1+PREMISSAS!$C$38)</f>
        <v>181646.84424</v>
      </c>
      <c r="G53" s="49" t="n">
        <f aca="false">AUX!S33</f>
        <v>1010641.8416</v>
      </c>
      <c r="H53" s="57" t="str">
        <f aca="false">IF(B53=PREMISSAS!$C$13,"◀ adotado","")</f>
        <v>◀ adotado</v>
      </c>
    </row>
    <row r="55" customFormat="false" ht="15" hidden="false" customHeight="true" outlineLevel="0" collapsed="false">
      <c r="B55" s="40" t="s">
        <v>195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</row>
  </sheetData>
  <mergeCells count="15">
    <mergeCell ref="B2:R2"/>
    <mergeCell ref="B3:R3"/>
    <mergeCell ref="B8:R8"/>
    <mergeCell ref="B19:R19"/>
    <mergeCell ref="B30:R30"/>
    <mergeCell ref="B41:R41"/>
    <mergeCell ref="C42:D42"/>
    <mergeCell ref="F42:Q42"/>
    <mergeCell ref="C43:D43"/>
    <mergeCell ref="C44:D44"/>
    <mergeCell ref="C45:D45"/>
    <mergeCell ref="C46:D46"/>
    <mergeCell ref="F46:Q46"/>
    <mergeCell ref="B48:R48"/>
    <mergeCell ref="B55:R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17" min="3" style="0" width="12.5"/>
    <col collapsed="false" customWidth="true" hidden="false" outlineLevel="0" max="18" min="18" style="0" width="15"/>
  </cols>
  <sheetData>
    <row r="2" customFormat="false" ht="24" hidden="false" customHeight="true" outlineLevel="0" collapsed="false">
      <c r="B2" s="1" t="s">
        <v>196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B3" s="2" t="s">
        <v>197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P4" s="24" t="s">
        <v>123</v>
      </c>
      <c r="Q4" s="25" t="str">
        <f aca="false">PREMISSAS!$C$13</f>
        <v>ÓTIMA</v>
      </c>
    </row>
    <row r="5" customFormat="false" ht="15" hidden="false" customHeight="false" outlineLevel="0" collapsed="false">
      <c r="B5" s="45" t="s">
        <v>166</v>
      </c>
      <c r="C5" s="46" t="n">
        <f aca="false">DATE(YEAR(PREMISSAS!$C$6),MONTH(PREMISSAS!$C$6),1)</f>
        <v>46235</v>
      </c>
      <c r="D5" s="46" t="n">
        <f aca="false">EDATE(C5,1)</f>
        <v>46266</v>
      </c>
      <c r="E5" s="46" t="n">
        <f aca="false">EDATE(D5,1)</f>
        <v>46296</v>
      </c>
      <c r="F5" s="46" t="n">
        <f aca="false">EDATE(E5,1)</f>
        <v>46327</v>
      </c>
      <c r="G5" s="46" t="n">
        <f aca="false">EDATE(F5,1)</f>
        <v>46357</v>
      </c>
      <c r="H5" s="46" t="n">
        <f aca="false">EDATE(G5,1)</f>
        <v>46388</v>
      </c>
      <c r="I5" s="46" t="n">
        <f aca="false">EDATE(H5,1)</f>
        <v>46419</v>
      </c>
      <c r="J5" s="46" t="n">
        <f aca="false">EDATE(I5,1)</f>
        <v>46447</v>
      </c>
      <c r="K5" s="46" t="n">
        <f aca="false">EDATE(J5,1)</f>
        <v>46478</v>
      </c>
      <c r="L5" s="46" t="n">
        <f aca="false">EDATE(K5,1)</f>
        <v>46508</v>
      </c>
      <c r="M5" s="46" t="n">
        <f aca="false">EDATE(L5,1)</f>
        <v>46539</v>
      </c>
      <c r="N5" s="46" t="n">
        <f aca="false">EDATE(M5,1)</f>
        <v>46569</v>
      </c>
      <c r="O5" s="46" t="n">
        <f aca="false">EDATE(N5,1)</f>
        <v>46600</v>
      </c>
      <c r="P5" s="46" t="n">
        <f aca="false">EDATE(O5,1)</f>
        <v>46631</v>
      </c>
      <c r="Q5" s="46" t="n">
        <f aca="false">EDATE(P5,1)</f>
        <v>46661</v>
      </c>
      <c r="R5" s="27" t="s">
        <v>137</v>
      </c>
    </row>
    <row r="6" customFormat="false" ht="15" hidden="false" customHeight="false" outlineLevel="0" collapsed="false">
      <c r="B6" s="30" t="s">
        <v>167</v>
      </c>
      <c r="C6" s="47" t="n">
        <f aca="false">AUX!C4</f>
        <v>8</v>
      </c>
      <c r="D6" s="47" t="n">
        <f aca="false">AUX!D4</f>
        <v>30</v>
      </c>
      <c r="E6" s="47" t="n">
        <f aca="false">AUX!E4</f>
        <v>31</v>
      </c>
      <c r="F6" s="47" t="n">
        <f aca="false">AUX!F4</f>
        <v>30</v>
      </c>
      <c r="G6" s="47" t="n">
        <f aca="false">AUX!G4</f>
        <v>31</v>
      </c>
      <c r="H6" s="47" t="n">
        <f aca="false">AUX!H4</f>
        <v>31</v>
      </c>
      <c r="I6" s="47" t="n">
        <f aca="false">AUX!I4</f>
        <v>28</v>
      </c>
      <c r="J6" s="47" t="n">
        <f aca="false">AUX!J4</f>
        <v>31</v>
      </c>
      <c r="K6" s="47" t="n">
        <f aca="false">AUX!K4</f>
        <v>30</v>
      </c>
      <c r="L6" s="47" t="n">
        <f aca="false">AUX!L4</f>
        <v>31</v>
      </c>
      <c r="M6" s="47" t="n">
        <f aca="false">AUX!M4</f>
        <v>30</v>
      </c>
      <c r="N6" s="47" t="n">
        <f aca="false">AUX!N4</f>
        <v>31</v>
      </c>
      <c r="O6" s="47" t="n">
        <f aca="false">AUX!O4</f>
        <v>0</v>
      </c>
      <c r="P6" s="47" t="n">
        <f aca="false">AUX!P4</f>
        <v>0</v>
      </c>
      <c r="Q6" s="47" t="n">
        <f aca="false">AUX!Q4</f>
        <v>0</v>
      </c>
      <c r="R6" s="48" t="n">
        <f aca="false">SUM(C6:Q6)</f>
        <v>342</v>
      </c>
    </row>
    <row r="9" customFormat="false" ht="15" hidden="false" customHeight="false" outlineLevel="0" collapsed="false">
      <c r="B9" s="30" t="s">
        <v>176</v>
      </c>
      <c r="C9" s="49" t="n">
        <f aca="false">AUX!C7</f>
        <v>181947.704615385</v>
      </c>
      <c r="D9" s="49" t="n">
        <f aca="false">AUX!D7</f>
        <v>909738.523076923</v>
      </c>
      <c r="E9" s="49" t="n">
        <f aca="false">AUX!E7</f>
        <v>909738.523076923</v>
      </c>
      <c r="F9" s="49" t="n">
        <f aca="false">AUX!F7</f>
        <v>779775.876923077</v>
      </c>
      <c r="G9" s="49" t="n">
        <f aca="false">AUX!G7</f>
        <v>805768.406153846</v>
      </c>
      <c r="H9" s="49" t="n">
        <f aca="false">AUX!H7</f>
        <v>805768.406153846</v>
      </c>
      <c r="I9" s="49" t="n">
        <f aca="false">AUX!I7</f>
        <v>727790.818461538</v>
      </c>
      <c r="J9" s="49" t="n">
        <f aca="false">AUX!J7</f>
        <v>805768.406153846</v>
      </c>
      <c r="K9" s="49" t="n">
        <f aca="false">AUX!K7</f>
        <v>779775.876923077</v>
      </c>
      <c r="L9" s="49" t="n">
        <f aca="false">AUX!L7</f>
        <v>805768.406153846</v>
      </c>
      <c r="M9" s="49" t="n">
        <f aca="false">AUX!M7</f>
        <v>779775.876923077</v>
      </c>
      <c r="N9" s="49" t="n">
        <f aca="false">AUX!N7</f>
        <v>805768.406153846</v>
      </c>
      <c r="O9" s="49" t="n">
        <f aca="false">AUX!O7</f>
        <v>0</v>
      </c>
      <c r="P9" s="49" t="n">
        <f aca="false">AUX!P7</f>
        <v>0</v>
      </c>
      <c r="Q9" s="49" t="n">
        <f aca="false">AUX!Q7</f>
        <v>0</v>
      </c>
      <c r="R9" s="50" t="n">
        <f aca="false">SUM(C9:Q9)</f>
        <v>9097385.23076923</v>
      </c>
    </row>
    <row r="10" customFormat="false" ht="15" hidden="false" customHeight="false" outlineLevel="0" collapsed="false">
      <c r="B10" s="30" t="s">
        <v>145</v>
      </c>
      <c r="C10" s="36" t="n">
        <f aca="false">IF(PREMISSAS!$C$48="MEDIÇÃO CHEIA",C9,MAX(0,C9-PREMISSAS!$C$61*AUX!C$9/PREMISSAS!$C$8))*PREMISSAS!$C$10</f>
        <v>40028.4950153846</v>
      </c>
      <c r="D10" s="36" t="n">
        <f aca="false">IF(PREMISSAS!$C$48="MEDIÇÃO CHEIA",D9,MAX(0,D9-PREMISSAS!$C$61*AUX!D$9/PREMISSAS!$C$8))*PREMISSAS!$C$10</f>
        <v>200142.475076923</v>
      </c>
      <c r="E10" s="36" t="n">
        <f aca="false">IF(PREMISSAS!$C$48="MEDIÇÃO CHEIA",E9,MAX(0,E9-PREMISSAS!$C$61*AUX!E$9/PREMISSAS!$C$8))*PREMISSAS!$C$10</f>
        <v>200142.475076923</v>
      </c>
      <c r="F10" s="36" t="n">
        <f aca="false">IF(PREMISSAS!$C$48="MEDIÇÃO CHEIA",F9,MAX(0,F9-PREMISSAS!$C$61*AUX!F$9/PREMISSAS!$C$8))*PREMISSAS!$C$10</f>
        <v>171550.692923077</v>
      </c>
      <c r="G10" s="36" t="n">
        <f aca="false">IF(PREMISSAS!$C$48="MEDIÇÃO CHEIA",G9,MAX(0,G9-PREMISSAS!$C$61*AUX!G$9/PREMISSAS!$C$8))*PREMISSAS!$C$10</f>
        <v>177269.049353846</v>
      </c>
      <c r="H10" s="36" t="n">
        <f aca="false">IF(PREMISSAS!$C$48="MEDIÇÃO CHEIA",H9,MAX(0,H9-PREMISSAS!$C$61*AUX!H$9/PREMISSAS!$C$8))*PREMISSAS!$C$10</f>
        <v>177269.049353846</v>
      </c>
      <c r="I10" s="36" t="n">
        <f aca="false">IF(PREMISSAS!$C$48="MEDIÇÃO CHEIA",I9,MAX(0,I9-PREMISSAS!$C$61*AUX!I$9/PREMISSAS!$C$8))*PREMISSAS!$C$10</f>
        <v>160113.980061538</v>
      </c>
      <c r="J10" s="36" t="n">
        <f aca="false">IF(PREMISSAS!$C$48="MEDIÇÃO CHEIA",J9,MAX(0,J9-PREMISSAS!$C$61*AUX!J$9/PREMISSAS!$C$8))*PREMISSAS!$C$10</f>
        <v>177269.049353846</v>
      </c>
      <c r="K10" s="36" t="n">
        <f aca="false">IF(PREMISSAS!$C$48="MEDIÇÃO CHEIA",K9,MAX(0,K9-PREMISSAS!$C$61*AUX!K$9/PREMISSAS!$C$8))*PREMISSAS!$C$10</f>
        <v>171550.692923077</v>
      </c>
      <c r="L10" s="36" t="n">
        <f aca="false">IF(PREMISSAS!$C$48="MEDIÇÃO CHEIA",L9,MAX(0,L9-PREMISSAS!$C$61*AUX!L$9/PREMISSAS!$C$8))*PREMISSAS!$C$10</f>
        <v>177269.049353846</v>
      </c>
      <c r="M10" s="36" t="n">
        <f aca="false">IF(PREMISSAS!$C$48="MEDIÇÃO CHEIA",M9,MAX(0,M9-PREMISSAS!$C$61*AUX!M$9/PREMISSAS!$C$8))*PREMISSAS!$C$10</f>
        <v>171550.692923077</v>
      </c>
      <c r="N10" s="36" t="n">
        <f aca="false">IF(PREMISSAS!$C$48="MEDIÇÃO CHEIA",N9,MAX(0,N9-PREMISSAS!$C$61*AUX!N$9/PREMISSAS!$C$8))*PREMISSAS!$C$10</f>
        <v>177269.049353846</v>
      </c>
      <c r="O10" s="36" t="n">
        <f aca="false">IF(PREMISSAS!$C$48="MEDIÇÃO CHEIA",O9,MAX(0,O9-PREMISSAS!$C$61*AUX!O$9/PREMISSAS!$C$8))*PREMISSAS!$C$10</f>
        <v>0</v>
      </c>
      <c r="P10" s="36" t="n">
        <f aca="false">IF(PREMISSAS!$C$48="MEDIÇÃO CHEIA",P9,MAX(0,P9-PREMISSAS!$C$61*AUX!P$9/PREMISSAS!$C$8))*PREMISSAS!$C$10</f>
        <v>0</v>
      </c>
      <c r="Q10" s="36" t="n">
        <f aca="false">IF(PREMISSAS!$C$48="MEDIÇÃO CHEIA",Q9,MAX(0,Q9-PREMISSAS!$C$61*AUX!Q$9/PREMISSAS!$C$8))*PREMISSAS!$C$10</f>
        <v>0</v>
      </c>
      <c r="R10" s="50" t="n">
        <f aca="false">SUM(C10:Q10)</f>
        <v>2001424.75076923</v>
      </c>
    </row>
    <row r="11" customFormat="false" ht="15" hidden="false" customHeight="false" outlineLevel="0" collapsed="false">
      <c r="B11" s="33" t="s">
        <v>198</v>
      </c>
      <c r="C11" s="50" t="n">
        <f aca="false">C9-C10</f>
        <v>141919.2096</v>
      </c>
      <c r="D11" s="50" t="n">
        <f aca="false">D9-D10</f>
        <v>709596.048</v>
      </c>
      <c r="E11" s="50" t="n">
        <f aca="false">E9-E10</f>
        <v>709596.048</v>
      </c>
      <c r="F11" s="50" t="n">
        <f aca="false">F9-F10</f>
        <v>608225.184</v>
      </c>
      <c r="G11" s="50" t="n">
        <f aca="false">G9-G10</f>
        <v>628499.3568</v>
      </c>
      <c r="H11" s="50" t="n">
        <f aca="false">H9-H10</f>
        <v>628499.3568</v>
      </c>
      <c r="I11" s="50" t="n">
        <f aca="false">I9-I10</f>
        <v>567676.8384</v>
      </c>
      <c r="J11" s="50" t="n">
        <f aca="false">J9-J10</f>
        <v>628499.3568</v>
      </c>
      <c r="K11" s="50" t="n">
        <f aca="false">K9-K10</f>
        <v>608225.184</v>
      </c>
      <c r="L11" s="50" t="n">
        <f aca="false">L9-L10</f>
        <v>628499.3568</v>
      </c>
      <c r="M11" s="50" t="n">
        <f aca="false">M9-M10</f>
        <v>608225.184</v>
      </c>
      <c r="N11" s="50" t="n">
        <f aca="false">N9-N10</f>
        <v>628499.3568</v>
      </c>
      <c r="O11" s="50" t="n">
        <f aca="false">O9-O10</f>
        <v>0</v>
      </c>
      <c r="P11" s="50" t="n">
        <f aca="false">P9-P10</f>
        <v>0</v>
      </c>
      <c r="Q11" s="50" t="n">
        <f aca="false">Q9-Q10</f>
        <v>0</v>
      </c>
      <c r="R11" s="50" t="n">
        <f aca="false">SUM(C11:Q11)</f>
        <v>7095960.48</v>
      </c>
    </row>
    <row r="12" customFormat="false" ht="15" hidden="false" customHeight="false" outlineLevel="0" collapsed="false">
      <c r="B12" s="30" t="s">
        <v>199</v>
      </c>
      <c r="C12" s="36" t="n">
        <f aca="false">('CUSTOS BERTIOGA'!$H$22+'CUSTOS SANTOS'!$H$23)*AUX!C$9/PREMISSAS!$C$8</f>
        <v>113377.16</v>
      </c>
      <c r="D12" s="36" t="n">
        <f aca="false">('CUSTOS BERTIOGA'!$H$22+'CUSTOS SANTOS'!$H$23)*AUX!D$9/PREMISSAS!$C$8</f>
        <v>226754.32</v>
      </c>
      <c r="E12" s="36" t="n">
        <f aca="false">('CUSTOS BERTIOGA'!$H$22+'CUSTOS SANTOS'!$H$23)*AUX!E$9/PREMISSAS!$C$8</f>
        <v>234312.797333333</v>
      </c>
      <c r="F12" s="36" t="n">
        <f aca="false">('CUSTOS BERTIOGA'!$H$22+'CUSTOS SANTOS'!$H$23)*AUX!F$9/PREMISSAS!$C$8</f>
        <v>226754.32</v>
      </c>
      <c r="G12" s="36" t="n">
        <f aca="false">('CUSTOS BERTIOGA'!$H$22+'CUSTOS SANTOS'!$H$23)*AUX!G$9/PREMISSAS!$C$8</f>
        <v>234312.797333333</v>
      </c>
      <c r="H12" s="36" t="n">
        <f aca="false">('CUSTOS BERTIOGA'!$H$22+'CUSTOS SANTOS'!$H$23)*AUX!H$9/PREMISSAS!$C$8</f>
        <v>234312.797333333</v>
      </c>
      <c r="I12" s="36" t="n">
        <f aca="false">('CUSTOS BERTIOGA'!$H$22+'CUSTOS SANTOS'!$H$23)*AUX!I$9/PREMISSAS!$C$8</f>
        <v>211637.365333333</v>
      </c>
      <c r="J12" s="36" t="n">
        <f aca="false">('CUSTOS BERTIOGA'!$H$22+'CUSTOS SANTOS'!$H$23)*AUX!J$9/PREMISSAS!$C$8</f>
        <v>234312.797333333</v>
      </c>
      <c r="K12" s="36" t="n">
        <f aca="false">('CUSTOS BERTIOGA'!$H$22+'CUSTOS SANTOS'!$H$23)*AUX!K$9/PREMISSAS!$C$8</f>
        <v>226754.32</v>
      </c>
      <c r="L12" s="36" t="n">
        <f aca="false">('CUSTOS BERTIOGA'!$H$22+'CUSTOS SANTOS'!$H$23)*AUX!L$9/PREMISSAS!$C$8</f>
        <v>234312.797333333</v>
      </c>
      <c r="M12" s="36" t="n">
        <f aca="false">('CUSTOS BERTIOGA'!$H$22+'CUSTOS SANTOS'!$H$23)*AUX!M$9/PREMISSAS!$C$8</f>
        <v>226754.32</v>
      </c>
      <c r="N12" s="36" t="n">
        <f aca="false">('CUSTOS BERTIOGA'!$H$22+'CUSTOS SANTOS'!$H$23)*AUX!N$9/PREMISSAS!$C$8</f>
        <v>234312.797333333</v>
      </c>
      <c r="O12" s="36" t="n">
        <f aca="false">('CUSTOS BERTIOGA'!$H$22+'CUSTOS SANTOS'!$H$23)*AUX!O$9/PREMISSAS!$C$8</f>
        <v>0</v>
      </c>
      <c r="P12" s="36" t="n">
        <f aca="false">('CUSTOS BERTIOGA'!$H$22+'CUSTOS SANTOS'!$H$23)*AUX!P$9/PREMISSAS!$C$8</f>
        <v>0</v>
      </c>
      <c r="Q12" s="36" t="n">
        <f aca="false">('CUSTOS BERTIOGA'!$H$22+'CUSTOS SANTOS'!$H$23)*AUX!Q$9/PREMISSAS!$C$8</f>
        <v>0</v>
      </c>
      <c r="R12" s="50" t="n">
        <f aca="false">SUM(C12:Q12)</f>
        <v>2637908.58933333</v>
      </c>
    </row>
    <row r="13" customFormat="false" ht="15" hidden="false" customHeight="false" outlineLevel="0" collapsed="false">
      <c r="B13" s="30" t="s">
        <v>200</v>
      </c>
      <c r="C13" s="36" t="n">
        <f aca="false">('CUSTOS BERTIOGA'!$F$26+'CUSTOS SANTOS'!$F$27)*AUX!C$9/PREMISSAS!$C$8</f>
        <v>13000</v>
      </c>
      <c r="D13" s="36" t="n">
        <f aca="false">('CUSTOS BERTIOGA'!$F$26+'CUSTOS SANTOS'!$F$27)*AUX!D$9/PREMISSAS!$C$8</f>
        <v>26000</v>
      </c>
      <c r="E13" s="36" t="n">
        <f aca="false">('CUSTOS BERTIOGA'!$F$26+'CUSTOS SANTOS'!$F$27)*AUX!E$9/PREMISSAS!$C$8</f>
        <v>26866.6666666667</v>
      </c>
      <c r="F13" s="36" t="n">
        <f aca="false">('CUSTOS BERTIOGA'!$F$26+'CUSTOS SANTOS'!$F$27)*AUX!F$9/PREMISSAS!$C$8</f>
        <v>26000</v>
      </c>
      <c r="G13" s="36" t="n">
        <f aca="false">('CUSTOS BERTIOGA'!$F$26+'CUSTOS SANTOS'!$F$27)*AUX!G$9/PREMISSAS!$C$8</f>
        <v>26866.6666666667</v>
      </c>
      <c r="H13" s="36" t="n">
        <f aca="false">('CUSTOS BERTIOGA'!$F$26+'CUSTOS SANTOS'!$F$27)*AUX!H$9/PREMISSAS!$C$8</f>
        <v>26866.6666666667</v>
      </c>
      <c r="I13" s="36" t="n">
        <f aca="false">('CUSTOS BERTIOGA'!$F$26+'CUSTOS SANTOS'!$F$27)*AUX!I$9/PREMISSAS!$C$8</f>
        <v>24266.6666666667</v>
      </c>
      <c r="J13" s="36" t="n">
        <f aca="false">('CUSTOS BERTIOGA'!$F$26+'CUSTOS SANTOS'!$F$27)*AUX!J$9/PREMISSAS!$C$8</f>
        <v>26866.6666666667</v>
      </c>
      <c r="K13" s="36" t="n">
        <f aca="false">('CUSTOS BERTIOGA'!$F$26+'CUSTOS SANTOS'!$F$27)*AUX!K$9/PREMISSAS!$C$8</f>
        <v>26000</v>
      </c>
      <c r="L13" s="36" t="n">
        <f aca="false">('CUSTOS BERTIOGA'!$F$26+'CUSTOS SANTOS'!$F$27)*AUX!L$9/PREMISSAS!$C$8</f>
        <v>26866.6666666667</v>
      </c>
      <c r="M13" s="36" t="n">
        <f aca="false">('CUSTOS BERTIOGA'!$F$26+'CUSTOS SANTOS'!$F$27)*AUX!M$9/PREMISSAS!$C$8</f>
        <v>26000</v>
      </c>
      <c r="N13" s="36" t="n">
        <f aca="false">('CUSTOS BERTIOGA'!$F$26+'CUSTOS SANTOS'!$F$27)*AUX!N$9/PREMISSAS!$C$8</f>
        <v>26866.6666666667</v>
      </c>
      <c r="O13" s="36" t="n">
        <f aca="false">('CUSTOS BERTIOGA'!$F$26+'CUSTOS SANTOS'!$F$27)*AUX!O$9/PREMISSAS!$C$8</f>
        <v>0</v>
      </c>
      <c r="P13" s="36" t="n">
        <f aca="false">('CUSTOS BERTIOGA'!$F$26+'CUSTOS SANTOS'!$F$27)*AUX!P$9/PREMISSAS!$C$8</f>
        <v>0</v>
      </c>
      <c r="Q13" s="36" t="n">
        <f aca="false">('CUSTOS BERTIOGA'!$F$26+'CUSTOS SANTOS'!$F$27)*AUX!Q$9/PREMISSAS!$C$8</f>
        <v>0</v>
      </c>
      <c r="R13" s="50" t="n">
        <f aca="false">SUM(C13:Q13)</f>
        <v>302466.666666667</v>
      </c>
    </row>
    <row r="14" customFormat="false" ht="15" hidden="false" customHeight="false" outlineLevel="0" collapsed="false">
      <c r="B14" s="30" t="s">
        <v>201</v>
      </c>
      <c r="C14" s="36" t="n">
        <f aca="false">(PREMISSAS!$C$30-'CUSTOS BERTIOGA'!$H$22-'CUSTOS SANTOS'!$H$23-'CUSTOS BERTIOGA'!$F$26-'CUSTOS SANTOS'!$F$27-'CUSTOS BERTIOGA'!$F$34-'CUSTOS SANTOS'!$F$35)*AUX!C$9/PREMISSAS!$C$8</f>
        <v>107050</v>
      </c>
      <c r="D14" s="36" t="n">
        <f aca="false">(PREMISSAS!$C$30-'CUSTOS BERTIOGA'!$H$22-'CUSTOS SANTOS'!$H$23-'CUSTOS BERTIOGA'!$F$26-'CUSTOS SANTOS'!$F$27-'CUSTOS BERTIOGA'!$F$34-'CUSTOS SANTOS'!$F$35)*AUX!D$9/PREMISSAS!$C$8</f>
        <v>214100</v>
      </c>
      <c r="E14" s="36" t="n">
        <f aca="false">(PREMISSAS!$C$30-'CUSTOS BERTIOGA'!$H$22-'CUSTOS SANTOS'!$H$23-'CUSTOS BERTIOGA'!$F$26-'CUSTOS SANTOS'!$F$27-'CUSTOS BERTIOGA'!$F$34-'CUSTOS SANTOS'!$F$35)*AUX!E$9/PREMISSAS!$C$8</f>
        <v>221236.666666667</v>
      </c>
      <c r="F14" s="36" t="n">
        <f aca="false">(PREMISSAS!$C$30-'CUSTOS BERTIOGA'!$H$22-'CUSTOS SANTOS'!$H$23-'CUSTOS BERTIOGA'!$F$26-'CUSTOS SANTOS'!$F$27-'CUSTOS BERTIOGA'!$F$34-'CUSTOS SANTOS'!$F$35)*AUX!F$9/PREMISSAS!$C$8</f>
        <v>214100</v>
      </c>
      <c r="G14" s="36" t="n">
        <f aca="false">(PREMISSAS!$C$30-'CUSTOS BERTIOGA'!$H$22-'CUSTOS SANTOS'!$H$23-'CUSTOS BERTIOGA'!$F$26-'CUSTOS SANTOS'!$F$27-'CUSTOS BERTIOGA'!$F$34-'CUSTOS SANTOS'!$F$35)*AUX!G$9/PREMISSAS!$C$8</f>
        <v>221236.666666667</v>
      </c>
      <c r="H14" s="36" t="n">
        <f aca="false">(PREMISSAS!$C$30-'CUSTOS BERTIOGA'!$H$22-'CUSTOS SANTOS'!$H$23-'CUSTOS BERTIOGA'!$F$26-'CUSTOS SANTOS'!$F$27-'CUSTOS BERTIOGA'!$F$34-'CUSTOS SANTOS'!$F$35)*AUX!H$9/PREMISSAS!$C$8</f>
        <v>221236.666666667</v>
      </c>
      <c r="I14" s="36" t="n">
        <f aca="false">(PREMISSAS!$C$30-'CUSTOS BERTIOGA'!$H$22-'CUSTOS SANTOS'!$H$23-'CUSTOS BERTIOGA'!$F$26-'CUSTOS SANTOS'!$F$27-'CUSTOS BERTIOGA'!$F$34-'CUSTOS SANTOS'!$F$35)*AUX!I$9/PREMISSAS!$C$8</f>
        <v>199826.666666667</v>
      </c>
      <c r="J14" s="36" t="n">
        <f aca="false">(PREMISSAS!$C$30-'CUSTOS BERTIOGA'!$H$22-'CUSTOS SANTOS'!$H$23-'CUSTOS BERTIOGA'!$F$26-'CUSTOS SANTOS'!$F$27-'CUSTOS BERTIOGA'!$F$34-'CUSTOS SANTOS'!$F$35)*AUX!J$9/PREMISSAS!$C$8</f>
        <v>221236.666666667</v>
      </c>
      <c r="K14" s="36" t="n">
        <f aca="false">(PREMISSAS!$C$30-'CUSTOS BERTIOGA'!$H$22-'CUSTOS SANTOS'!$H$23-'CUSTOS BERTIOGA'!$F$26-'CUSTOS SANTOS'!$F$27-'CUSTOS BERTIOGA'!$F$34-'CUSTOS SANTOS'!$F$35)*AUX!K$9/PREMISSAS!$C$8</f>
        <v>214100</v>
      </c>
      <c r="L14" s="36" t="n">
        <f aca="false">(PREMISSAS!$C$30-'CUSTOS BERTIOGA'!$H$22-'CUSTOS SANTOS'!$H$23-'CUSTOS BERTIOGA'!$F$26-'CUSTOS SANTOS'!$F$27-'CUSTOS BERTIOGA'!$F$34-'CUSTOS SANTOS'!$F$35)*AUX!L$9/PREMISSAS!$C$8</f>
        <v>221236.666666667</v>
      </c>
      <c r="M14" s="36" t="n">
        <f aca="false">(PREMISSAS!$C$30-'CUSTOS BERTIOGA'!$H$22-'CUSTOS SANTOS'!$H$23-'CUSTOS BERTIOGA'!$F$26-'CUSTOS SANTOS'!$F$27-'CUSTOS BERTIOGA'!$F$34-'CUSTOS SANTOS'!$F$35)*AUX!M$9/PREMISSAS!$C$8</f>
        <v>214100</v>
      </c>
      <c r="N14" s="36" t="n">
        <f aca="false">(PREMISSAS!$C$30-'CUSTOS BERTIOGA'!$H$22-'CUSTOS SANTOS'!$H$23-'CUSTOS BERTIOGA'!$F$26-'CUSTOS SANTOS'!$F$27-'CUSTOS BERTIOGA'!$F$34-'CUSTOS SANTOS'!$F$35)*AUX!N$9/PREMISSAS!$C$8</f>
        <v>221236.666666667</v>
      </c>
      <c r="O14" s="36" t="n">
        <f aca="false">(PREMISSAS!$C$30-'CUSTOS BERTIOGA'!$H$22-'CUSTOS SANTOS'!$H$23-'CUSTOS BERTIOGA'!$F$26-'CUSTOS SANTOS'!$F$27-'CUSTOS BERTIOGA'!$F$34-'CUSTOS SANTOS'!$F$35)*AUX!O$9/PREMISSAS!$C$8</f>
        <v>0</v>
      </c>
      <c r="P14" s="36" t="n">
        <f aca="false">(PREMISSAS!$C$30-'CUSTOS BERTIOGA'!$H$22-'CUSTOS SANTOS'!$H$23-'CUSTOS BERTIOGA'!$F$26-'CUSTOS SANTOS'!$F$27-'CUSTOS BERTIOGA'!$F$34-'CUSTOS SANTOS'!$F$35)*AUX!P$9/PREMISSAS!$C$8</f>
        <v>0</v>
      </c>
      <c r="Q14" s="36" t="n">
        <f aca="false">(PREMISSAS!$C$30-'CUSTOS BERTIOGA'!$H$22-'CUSTOS SANTOS'!$H$23-'CUSTOS BERTIOGA'!$F$26-'CUSTOS SANTOS'!$F$27-'CUSTOS BERTIOGA'!$F$34-'CUSTOS SANTOS'!$F$35)*AUX!Q$9/PREMISSAS!$C$8</f>
        <v>0</v>
      </c>
      <c r="R14" s="50" t="n">
        <f aca="false">SUM(C14:Q14)</f>
        <v>2490696.66666667</v>
      </c>
    </row>
    <row r="15" customFormat="false" ht="15" hidden="false" customHeight="false" outlineLevel="0" collapsed="false">
      <c r="B15" s="30" t="s">
        <v>202</v>
      </c>
      <c r="C15" s="36" t="n">
        <f aca="false">('CUSTOS BERTIOGA'!$F$34+'CUSTOS SANTOS'!$F$35)*AUX!C$9/PREMISSAS!$C$8</f>
        <v>20000</v>
      </c>
      <c r="D15" s="36" t="n">
        <f aca="false">('CUSTOS BERTIOGA'!$F$34+'CUSTOS SANTOS'!$F$35)*AUX!D$9/PREMISSAS!$C$8</f>
        <v>40000</v>
      </c>
      <c r="E15" s="36" t="n">
        <f aca="false">('CUSTOS BERTIOGA'!$F$34+'CUSTOS SANTOS'!$F$35)*AUX!E$9/PREMISSAS!$C$8</f>
        <v>41333.3333333333</v>
      </c>
      <c r="F15" s="36" t="n">
        <f aca="false">('CUSTOS BERTIOGA'!$F$34+'CUSTOS SANTOS'!$F$35)*AUX!F$9/PREMISSAS!$C$8</f>
        <v>40000</v>
      </c>
      <c r="G15" s="36" t="n">
        <f aca="false">('CUSTOS BERTIOGA'!$F$34+'CUSTOS SANTOS'!$F$35)*AUX!G$9/PREMISSAS!$C$8</f>
        <v>41333.3333333333</v>
      </c>
      <c r="H15" s="36" t="n">
        <f aca="false">('CUSTOS BERTIOGA'!$F$34+'CUSTOS SANTOS'!$F$35)*AUX!H$9/PREMISSAS!$C$8</f>
        <v>41333.3333333333</v>
      </c>
      <c r="I15" s="36" t="n">
        <f aca="false">('CUSTOS BERTIOGA'!$F$34+'CUSTOS SANTOS'!$F$35)*AUX!I$9/PREMISSAS!$C$8</f>
        <v>37333.3333333333</v>
      </c>
      <c r="J15" s="36" t="n">
        <f aca="false">('CUSTOS BERTIOGA'!$F$34+'CUSTOS SANTOS'!$F$35)*AUX!J$9/PREMISSAS!$C$8</f>
        <v>41333.3333333333</v>
      </c>
      <c r="K15" s="36" t="n">
        <f aca="false">('CUSTOS BERTIOGA'!$F$34+'CUSTOS SANTOS'!$F$35)*AUX!K$9/PREMISSAS!$C$8</f>
        <v>40000</v>
      </c>
      <c r="L15" s="36" t="n">
        <f aca="false">('CUSTOS BERTIOGA'!$F$34+'CUSTOS SANTOS'!$F$35)*AUX!L$9/PREMISSAS!$C$8</f>
        <v>41333.3333333333</v>
      </c>
      <c r="M15" s="36" t="n">
        <f aca="false">('CUSTOS BERTIOGA'!$F$34+'CUSTOS SANTOS'!$F$35)*AUX!M$9/PREMISSAS!$C$8</f>
        <v>40000</v>
      </c>
      <c r="N15" s="36" t="n">
        <f aca="false">('CUSTOS BERTIOGA'!$F$34+'CUSTOS SANTOS'!$F$35)*AUX!N$9/PREMISSAS!$C$8</f>
        <v>41333.3333333333</v>
      </c>
      <c r="O15" s="36" t="n">
        <f aca="false">('CUSTOS BERTIOGA'!$F$34+'CUSTOS SANTOS'!$F$35)*AUX!O$9/PREMISSAS!$C$8</f>
        <v>0</v>
      </c>
      <c r="P15" s="36" t="n">
        <f aca="false">('CUSTOS BERTIOGA'!$F$34+'CUSTOS SANTOS'!$F$35)*AUX!P$9/PREMISSAS!$C$8</f>
        <v>0</v>
      </c>
      <c r="Q15" s="36" t="n">
        <f aca="false">('CUSTOS BERTIOGA'!$F$34+'CUSTOS SANTOS'!$F$35)*AUX!Q$9/PREMISSAS!$C$8</f>
        <v>0</v>
      </c>
      <c r="R15" s="50" t="n">
        <f aca="false">SUM(C15:Q15)</f>
        <v>465333.333333333</v>
      </c>
    </row>
    <row r="16" customFormat="false" ht="15" hidden="false" customHeight="false" outlineLevel="0" collapsed="false">
      <c r="B16" s="30" t="s">
        <v>203</v>
      </c>
      <c r="C16" s="36" t="n">
        <f aca="false">IF(C$5=DATE(YEAR(PREMISSAS!$C$6),MONTH(PREMISSAS!$C$6),1),PREMISSAS!$C$35,0)</f>
        <v>26720</v>
      </c>
      <c r="D16" s="36" t="n">
        <f aca="false">IF(D$5=DATE(YEAR(PREMISSAS!$C$6),MONTH(PREMISSAS!$C$6),1),PREMISSAS!$C$35,0)</f>
        <v>0</v>
      </c>
      <c r="E16" s="36" t="n">
        <f aca="false">IF(E$5=DATE(YEAR(PREMISSAS!$C$6),MONTH(PREMISSAS!$C$6),1),PREMISSAS!$C$35,0)</f>
        <v>0</v>
      </c>
      <c r="F16" s="36" t="n">
        <f aca="false">IF(F$5=DATE(YEAR(PREMISSAS!$C$6),MONTH(PREMISSAS!$C$6),1),PREMISSAS!$C$35,0)</f>
        <v>0</v>
      </c>
      <c r="G16" s="36" t="n">
        <f aca="false">IF(G$5=DATE(YEAR(PREMISSAS!$C$6),MONTH(PREMISSAS!$C$6),1),PREMISSAS!$C$35,0)</f>
        <v>0</v>
      </c>
      <c r="H16" s="36" t="n">
        <f aca="false">IF(H$5=DATE(YEAR(PREMISSAS!$C$6),MONTH(PREMISSAS!$C$6),1),PREMISSAS!$C$35,0)</f>
        <v>0</v>
      </c>
      <c r="I16" s="36" t="n">
        <f aca="false">IF(I$5=DATE(YEAR(PREMISSAS!$C$6),MONTH(PREMISSAS!$C$6),1),PREMISSAS!$C$35,0)</f>
        <v>0</v>
      </c>
      <c r="J16" s="36" t="n">
        <f aca="false">IF(J$5=DATE(YEAR(PREMISSAS!$C$6),MONTH(PREMISSAS!$C$6),1),PREMISSAS!$C$35,0)</f>
        <v>0</v>
      </c>
      <c r="K16" s="36" t="n">
        <f aca="false">IF(K$5=DATE(YEAR(PREMISSAS!$C$6),MONTH(PREMISSAS!$C$6),1),PREMISSAS!$C$35,0)</f>
        <v>0</v>
      </c>
      <c r="L16" s="36" t="n">
        <f aca="false">IF(L$5=DATE(YEAR(PREMISSAS!$C$6),MONTH(PREMISSAS!$C$6),1),PREMISSAS!$C$35,0)</f>
        <v>0</v>
      </c>
      <c r="M16" s="36" t="n">
        <f aca="false">IF(M$5=DATE(YEAR(PREMISSAS!$C$6),MONTH(PREMISSAS!$C$6),1),PREMISSAS!$C$35,0)</f>
        <v>0</v>
      </c>
      <c r="N16" s="36" t="n">
        <f aca="false">IF(N$5=DATE(YEAR(PREMISSAS!$C$6),MONTH(PREMISSAS!$C$6),1),PREMISSAS!$C$35,0)</f>
        <v>0</v>
      </c>
      <c r="O16" s="36" t="n">
        <f aca="false">IF(O$5=DATE(YEAR(PREMISSAS!$C$6),MONTH(PREMISSAS!$C$6),1),PREMISSAS!$C$35,0)</f>
        <v>0</v>
      </c>
      <c r="P16" s="36" t="n">
        <f aca="false">IF(P$5=DATE(YEAR(PREMISSAS!$C$6),MONTH(PREMISSAS!$C$6),1),PREMISSAS!$C$35,0)</f>
        <v>0</v>
      </c>
      <c r="Q16" s="36" t="n">
        <f aca="false">IF(Q$5=DATE(YEAR(PREMISSAS!$C$6),MONTH(PREMISSAS!$C$6),1),PREMISSAS!$C$35,0)</f>
        <v>0</v>
      </c>
      <c r="R16" s="50" t="n">
        <f aca="false">SUM(C16:Q16)</f>
        <v>26720</v>
      </c>
    </row>
    <row r="17" customFormat="false" ht="15" hidden="false" customHeight="false" outlineLevel="0" collapsed="false">
      <c r="B17" s="33" t="s">
        <v>204</v>
      </c>
      <c r="C17" s="50" t="n">
        <f aca="false">C11-C12-C13-C14-C15-C16</f>
        <v>-138227.9504</v>
      </c>
      <c r="D17" s="50" t="n">
        <f aca="false">D11-D12-D13-D14-D15-D16</f>
        <v>202741.728</v>
      </c>
      <c r="E17" s="50" t="n">
        <f aca="false">E11-E12-E13-E14-E15-E16</f>
        <v>185846.584</v>
      </c>
      <c r="F17" s="50" t="n">
        <f aca="false">F11-F12-F13-F14-F15-F16</f>
        <v>101370.864</v>
      </c>
      <c r="G17" s="50" t="n">
        <f aca="false">G11-G12-G13-G14-G15-G16</f>
        <v>104749.8928</v>
      </c>
      <c r="H17" s="50" t="n">
        <f aca="false">H11-H12-H13-H14-H15-H16</f>
        <v>104749.8928</v>
      </c>
      <c r="I17" s="50" t="n">
        <f aca="false">I11-I12-I13-I14-I15-I16</f>
        <v>94612.8063999999</v>
      </c>
      <c r="J17" s="50" t="n">
        <f aca="false">J11-J12-J13-J14-J15-J16</f>
        <v>104749.8928</v>
      </c>
      <c r="K17" s="50" t="n">
        <f aca="false">K11-K12-K13-K14-K15-K16</f>
        <v>101370.864</v>
      </c>
      <c r="L17" s="50" t="n">
        <f aca="false">L11-L12-L13-L14-L15-L16</f>
        <v>104749.8928</v>
      </c>
      <c r="M17" s="50" t="n">
        <f aca="false">M11-M12-M13-M14-M15-M16</f>
        <v>101370.864</v>
      </c>
      <c r="N17" s="50" t="n">
        <f aca="false">N11-N12-N13-N14-N15-N16</f>
        <v>104749.8928</v>
      </c>
      <c r="O17" s="50" t="n">
        <f aca="false">O11-O12-O13-O14-O15-O16</f>
        <v>0</v>
      </c>
      <c r="P17" s="50" t="n">
        <f aca="false">P11-P12-P13-P14-P15-P16</f>
        <v>0</v>
      </c>
      <c r="Q17" s="50" t="n">
        <f aca="false">Q11-Q12-Q13-Q14-Q15-Q16</f>
        <v>0</v>
      </c>
      <c r="R17" s="50" t="n">
        <f aca="false">SUM(C17:Q17)</f>
        <v>1172835.224</v>
      </c>
    </row>
    <row r="18" customFormat="false" ht="15" hidden="false" customHeight="false" outlineLevel="0" collapsed="false">
      <c r="B18" s="33" t="s">
        <v>205</v>
      </c>
      <c r="C18" s="50" t="n">
        <f aca="false">C17</f>
        <v>-138227.9504</v>
      </c>
      <c r="D18" s="50" t="n">
        <f aca="false">C18+D17</f>
        <v>64513.7775999998</v>
      </c>
      <c r="E18" s="50" t="n">
        <f aca="false">D18+E17</f>
        <v>250360.3616</v>
      </c>
      <c r="F18" s="50" t="n">
        <f aca="false">E18+F17</f>
        <v>351731.2256</v>
      </c>
      <c r="G18" s="50" t="n">
        <f aca="false">F18+G17</f>
        <v>456481.1184</v>
      </c>
      <c r="H18" s="50" t="n">
        <f aca="false">G18+H17</f>
        <v>561231.0112</v>
      </c>
      <c r="I18" s="50" t="n">
        <f aca="false">H18+I17</f>
        <v>655843.817599999</v>
      </c>
      <c r="J18" s="50" t="n">
        <f aca="false">I18+J17</f>
        <v>760593.710399999</v>
      </c>
      <c r="K18" s="50" t="n">
        <f aca="false">J18+K17</f>
        <v>861964.574399999</v>
      </c>
      <c r="L18" s="50" t="n">
        <f aca="false">K18+L17</f>
        <v>966714.467199999</v>
      </c>
      <c r="M18" s="50" t="n">
        <f aca="false">L18+M17</f>
        <v>1068085.3312</v>
      </c>
      <c r="N18" s="50" t="n">
        <f aca="false">M18+N17</f>
        <v>1172835.224</v>
      </c>
      <c r="O18" s="50" t="n">
        <f aca="false">N18+O17</f>
        <v>1172835.224</v>
      </c>
      <c r="P18" s="50" t="n">
        <f aca="false">O18+P17</f>
        <v>1172835.224</v>
      </c>
      <c r="Q18" s="50" t="n">
        <f aca="false">P18+Q17</f>
        <v>1172835.224</v>
      </c>
      <c r="R18" s="50" t="n">
        <f aca="false">Q18</f>
        <v>1172835.224</v>
      </c>
    </row>
    <row r="19" customFormat="false" ht="15" hidden="false" customHeight="false" outlineLevel="0" collapsed="false">
      <c r="B19" s="30" t="s">
        <v>206</v>
      </c>
      <c r="C19" s="58" t="n">
        <f aca="false">IFERROR(C17/C9,0)</f>
        <v>-0.759712526696598</v>
      </c>
      <c r="D19" s="58" t="n">
        <f aca="false">IFERROR(D17/D9,0)</f>
        <v>0.222857142857143</v>
      </c>
      <c r="E19" s="58" t="n">
        <f aca="false">IFERROR(E17/E9,0)</f>
        <v>0.204285714285714</v>
      </c>
      <c r="F19" s="58" t="n">
        <f aca="false">IFERROR(F17/F9,0)</f>
        <v>0.13</v>
      </c>
      <c r="G19" s="58" t="n">
        <f aca="false">IFERROR(G17/G9,0)</f>
        <v>0.13</v>
      </c>
      <c r="H19" s="58" t="n">
        <f aca="false">IFERROR(H17/H9,0)</f>
        <v>0.13</v>
      </c>
      <c r="I19" s="58" t="n">
        <f aca="false">IFERROR(I17/I9,0)</f>
        <v>0.13</v>
      </c>
      <c r="J19" s="58" t="n">
        <f aca="false">IFERROR(J17/J9,0)</f>
        <v>0.13</v>
      </c>
      <c r="K19" s="58" t="n">
        <f aca="false">IFERROR(K17/K9,0)</f>
        <v>0.13</v>
      </c>
      <c r="L19" s="58" t="n">
        <f aca="false">IFERROR(L17/L9,0)</f>
        <v>0.13</v>
      </c>
      <c r="M19" s="58" t="n">
        <f aca="false">IFERROR(M17/M9,0)</f>
        <v>0.13</v>
      </c>
      <c r="N19" s="58" t="n">
        <f aca="false">IFERROR(N17/N9,0)</f>
        <v>0.13</v>
      </c>
      <c r="O19" s="58" t="n">
        <f aca="false">IFERROR(O17/O9,0)</f>
        <v>0</v>
      </c>
      <c r="P19" s="58" t="n">
        <f aca="false">IFERROR(P17/P9,0)</f>
        <v>0</v>
      </c>
      <c r="Q19" s="58" t="n">
        <f aca="false">IFERROR(Q17/Q9,0)</f>
        <v>0</v>
      </c>
      <c r="R19" s="17" t="n">
        <f aca="false">IFERROR(R17/R9,0)</f>
        <v>0.128920035180354</v>
      </c>
    </row>
    <row r="21" customFormat="false" ht="15" hidden="false" customHeight="false" outlineLevel="0" collapsed="false">
      <c r="B21" s="3" t="s">
        <v>207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false" outlineLevel="0" collapsed="false">
      <c r="B22" s="33" t="s">
        <v>208</v>
      </c>
      <c r="C22" s="59" t="n">
        <f aca="false">R17</f>
        <v>1172835.224</v>
      </c>
      <c r="D22" s="59"/>
    </row>
    <row r="23" customFormat="false" ht="15" hidden="false" customHeight="false" outlineLevel="0" collapsed="false">
      <c r="B23" s="30" t="s">
        <v>209</v>
      </c>
      <c r="C23" s="60" t="n">
        <f aca="false">R19</f>
        <v>0.128920035180354</v>
      </c>
      <c r="D23" s="60"/>
    </row>
    <row r="24" customFormat="false" ht="15" hidden="false" customHeight="true" outlineLevel="0" collapsed="false">
      <c r="B24" s="40" t="s">
        <v>210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</row>
  </sheetData>
  <mergeCells count="6">
    <mergeCell ref="B2:R2"/>
    <mergeCell ref="B3:R3"/>
    <mergeCell ref="B21:R21"/>
    <mergeCell ref="C22:D22"/>
    <mergeCell ref="C23:D23"/>
    <mergeCell ref="B24:R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1" min="9" style="0" width="12"/>
  </cols>
  <sheetData>
    <row r="2" customFormat="false" ht="24" hidden="false" customHeight="true" outlineLevel="0" collapsed="false">
      <c r="B2" s="1" t="s">
        <v>211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212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B4" s="3" t="s">
        <v>141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B5" s="43" t="s">
        <v>213</v>
      </c>
      <c r="C5" s="61" t="n">
        <f aca="false">PREMISSAS!$C$28</f>
        <v>237292.84</v>
      </c>
      <c r="D5" s="61"/>
      <c r="E5" s="43" t="s">
        <v>214</v>
      </c>
      <c r="F5" s="61" t="n">
        <f aca="false">PREMISSAS!$C$21</f>
        <v>881.2</v>
      </c>
    </row>
    <row r="6" customFormat="false" ht="24" hidden="false" customHeight="true" outlineLevel="0" collapsed="false">
      <c r="B6" s="27" t="s">
        <v>189</v>
      </c>
      <c r="C6" s="27" t="s">
        <v>190</v>
      </c>
      <c r="D6" s="27" t="s">
        <v>215</v>
      </c>
      <c r="E6" s="27" t="s">
        <v>216</v>
      </c>
      <c r="F6" s="27" t="s">
        <v>217</v>
      </c>
      <c r="G6" s="27" t="s">
        <v>218</v>
      </c>
      <c r="H6" s="27" t="s">
        <v>219</v>
      </c>
      <c r="I6" s="27"/>
    </row>
    <row r="7" customFormat="false" ht="15" hidden="false" customHeight="false" outlineLevel="0" collapsed="false">
      <c r="B7" s="62" t="s">
        <v>46</v>
      </c>
      <c r="C7" s="56" t="n">
        <f aca="false">PREMISSAS!C14</f>
        <v>0</v>
      </c>
      <c r="D7" s="34" t="n">
        <f aca="false">PREMISSAS!$C$28*(1+C7)</f>
        <v>237292.84</v>
      </c>
      <c r="E7" s="34" t="n">
        <f aca="false">D7/(1-PREMISSAS!$C$10)</f>
        <v>304221.58974359</v>
      </c>
      <c r="F7" s="31" t="n">
        <f aca="false">E7/PREMISSAS!$C$21</f>
        <v>345.235576195631</v>
      </c>
      <c r="G7" s="31" t="n">
        <f aca="false">F7*7/PREMISSAS!$C$8</f>
        <v>80.5549677789805</v>
      </c>
      <c r="H7" s="31" t="n">
        <f aca="false">F7/PREMISSAS!$C$8</f>
        <v>11.5078525398544</v>
      </c>
      <c r="I7" s="57" t="str">
        <f aca="false">IF(B7=PREMISSAS!$C$13,"◀ adotado","")</f>
        <v/>
      </c>
    </row>
    <row r="8" customFormat="false" ht="15" hidden="false" customHeight="false" outlineLevel="0" collapsed="false">
      <c r="B8" s="55" t="s">
        <v>49</v>
      </c>
      <c r="C8" s="56" t="n">
        <f aca="false">PREMISSAS!C15</f>
        <v>0.1</v>
      </c>
      <c r="D8" s="34" t="n">
        <f aca="false">PREMISSAS!$C$28*(1+C8)</f>
        <v>261022.124</v>
      </c>
      <c r="E8" s="34" t="n">
        <f aca="false">D8/(1-PREMISSAS!$C$10)</f>
        <v>334643.748717949</v>
      </c>
      <c r="F8" s="31" t="n">
        <f aca="false">E8/PREMISSAS!$C$21</f>
        <v>379.759133815194</v>
      </c>
      <c r="G8" s="31" t="n">
        <f aca="false">F8*7/PREMISSAS!$C$8</f>
        <v>88.6104645568785</v>
      </c>
      <c r="H8" s="31" t="n">
        <f aca="false">F8/PREMISSAS!$C$8</f>
        <v>12.6586377938398</v>
      </c>
      <c r="I8" s="57" t="str">
        <f aca="false">IF(B8=PREMISSAS!$C$13,"◀ adotado","")</f>
        <v/>
      </c>
    </row>
    <row r="9" customFormat="false" ht="15" hidden="false" customHeight="false" outlineLevel="0" collapsed="false">
      <c r="B9" s="55" t="s">
        <v>52</v>
      </c>
      <c r="C9" s="56" t="n">
        <f aca="false">PREMISSAS!C16</f>
        <v>0.15</v>
      </c>
      <c r="D9" s="34" t="n">
        <f aca="false">PREMISSAS!$C$28*(1+C9)</f>
        <v>272886.766</v>
      </c>
      <c r="E9" s="34" t="n">
        <f aca="false">D9/(1-PREMISSAS!$C$10)</f>
        <v>349854.828205128</v>
      </c>
      <c r="F9" s="31" t="n">
        <f aca="false">E9/PREMISSAS!$C$21</f>
        <v>397.020912624975</v>
      </c>
      <c r="G9" s="31" t="n">
        <f aca="false">F9*7/PREMISSAS!$C$8</f>
        <v>92.6382129458276</v>
      </c>
      <c r="H9" s="31" t="n">
        <f aca="false">F9/PREMISSAS!$C$8</f>
        <v>13.2340304208325</v>
      </c>
      <c r="I9" s="57" t="str">
        <f aca="false">IF(B9=PREMISSAS!$C$13,"◀ adotado","")</f>
        <v/>
      </c>
    </row>
    <row r="10" customFormat="false" ht="15" hidden="false" customHeight="false" outlineLevel="0" collapsed="false">
      <c r="B10" s="55" t="s">
        <v>43</v>
      </c>
      <c r="C10" s="56" t="n">
        <f aca="false">PREMISSAS!C17</f>
        <v>0.2</v>
      </c>
      <c r="D10" s="34" t="n">
        <f aca="false">PREMISSAS!$C$28*(1+C10)</f>
        <v>284751.408</v>
      </c>
      <c r="E10" s="34" t="n">
        <f aca="false">D10/(1-PREMISSAS!$C$10)</f>
        <v>365065.907692308</v>
      </c>
      <c r="F10" s="31" t="n">
        <f aca="false">E10/PREMISSAS!$C$21</f>
        <v>414.282691434757</v>
      </c>
      <c r="G10" s="31" t="n">
        <f aca="false">F10*7/PREMISSAS!$C$8</f>
        <v>96.6659613347766</v>
      </c>
      <c r="H10" s="31" t="n">
        <f aca="false">F10/PREMISSAS!$C$8</f>
        <v>13.8094230478252</v>
      </c>
      <c r="I10" s="57" t="str">
        <f aca="false">IF(B10=PREMISSAS!$C$13,"◀ adotado","")</f>
        <v>◀ adotado</v>
      </c>
    </row>
    <row r="11" customFormat="false" ht="15" hidden="false" customHeight="false" outlineLevel="0" collapsed="false">
      <c r="B11" s="63" t="s">
        <v>220</v>
      </c>
      <c r="C11" s="63"/>
      <c r="D11" s="63"/>
      <c r="E11" s="63"/>
      <c r="F11" s="64" t="n">
        <f aca="false">PREMISSAS!$C$28/PREMISSAS!$C$21</f>
        <v>269.283749432592</v>
      </c>
      <c r="G11" s="64" t="n">
        <f aca="false">F11*7/PREMISSAS!$C$8</f>
        <v>62.8328748676048</v>
      </c>
      <c r="H11" s="64" t="n">
        <f aca="false">F11/PREMISSAS!$C$8</f>
        <v>8.9761249810864</v>
      </c>
    </row>
    <row r="13" customFormat="false" ht="15" hidden="false" customHeight="false" outlineLevel="0" collapsed="false">
      <c r="B13" s="3" t="s">
        <v>221</v>
      </c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false" outlineLevel="0" collapsed="false">
      <c r="B14" s="43" t="s">
        <v>213</v>
      </c>
      <c r="C14" s="61" t="n">
        <f aca="false">PREMISSAS!$C$29</f>
        <v>269561.48</v>
      </c>
      <c r="D14" s="61"/>
      <c r="E14" s="43" t="s">
        <v>214</v>
      </c>
      <c r="F14" s="61" t="n">
        <f aca="false">PREMISSAS!$C$25</f>
        <v>1338.825</v>
      </c>
    </row>
    <row r="15" customFormat="false" ht="24" hidden="false" customHeight="true" outlineLevel="0" collapsed="false">
      <c r="B15" s="27" t="s">
        <v>189</v>
      </c>
      <c r="C15" s="27" t="s">
        <v>190</v>
      </c>
      <c r="D15" s="27" t="s">
        <v>215</v>
      </c>
      <c r="E15" s="27" t="s">
        <v>216</v>
      </c>
      <c r="F15" s="27" t="s">
        <v>217</v>
      </c>
      <c r="G15" s="27" t="s">
        <v>218</v>
      </c>
      <c r="H15" s="27" t="s">
        <v>219</v>
      </c>
      <c r="I15" s="27"/>
      <c r="J15" s="27" t="s">
        <v>222</v>
      </c>
      <c r="K15" s="27" t="s">
        <v>223</v>
      </c>
    </row>
    <row r="16" customFormat="false" ht="15" hidden="false" customHeight="false" outlineLevel="0" collapsed="false">
      <c r="B16" s="62" t="s">
        <v>46</v>
      </c>
      <c r="C16" s="56" t="n">
        <f aca="false">PREMISSAS!C14</f>
        <v>0</v>
      </c>
      <c r="D16" s="34" t="n">
        <f aca="false">PREMISSAS!$C$29*(1+C16)</f>
        <v>269561.48</v>
      </c>
      <c r="E16" s="34" t="n">
        <f aca="false">D16/(1-PREMISSAS!$C$10)</f>
        <v>345591.641025641</v>
      </c>
      <c r="F16" s="31" t="n">
        <f aca="false">E16/PREMISSAS!$C$25</f>
        <v>258.130555543586</v>
      </c>
      <c r="G16" s="31" t="n">
        <f aca="false">F16*7/PREMISSAS!$C$8</f>
        <v>60.23046296017</v>
      </c>
      <c r="H16" s="31" t="n">
        <f aca="false">F16/PREMISSAS!$C$8</f>
        <v>8.60435185145285</v>
      </c>
      <c r="I16" s="57" t="str">
        <f aca="false">IF(B16=PREMISSAS!$C$13,"◀ adotado","")</f>
        <v/>
      </c>
      <c r="J16" s="31" t="n">
        <f aca="false">H16*(1-PREMISSAS!$C$24)</f>
        <v>4.30217592572643</v>
      </c>
      <c r="K16" s="31" t="n">
        <f aca="false">H16*PREMISSAS!$C$24</f>
        <v>4.30217592572643</v>
      </c>
    </row>
    <row r="17" customFormat="false" ht="15" hidden="false" customHeight="false" outlineLevel="0" collapsed="false">
      <c r="B17" s="55" t="s">
        <v>49</v>
      </c>
      <c r="C17" s="56" t="n">
        <f aca="false">PREMISSAS!C15</f>
        <v>0.1</v>
      </c>
      <c r="D17" s="34" t="n">
        <f aca="false">PREMISSAS!$C$29*(1+C17)</f>
        <v>296517.628</v>
      </c>
      <c r="E17" s="34" t="n">
        <f aca="false">D17/(1-PREMISSAS!$C$10)</f>
        <v>380150.805128205</v>
      </c>
      <c r="F17" s="31" t="n">
        <f aca="false">E17/PREMISSAS!$C$25</f>
        <v>283.943611097944</v>
      </c>
      <c r="G17" s="31" t="n">
        <f aca="false">F17*7/PREMISSAS!$C$8</f>
        <v>66.253509256187</v>
      </c>
      <c r="H17" s="31" t="n">
        <f aca="false">F17/PREMISSAS!$C$8</f>
        <v>9.46478703659814</v>
      </c>
      <c r="I17" s="57" t="str">
        <f aca="false">IF(B17=PREMISSAS!$C$13,"◀ adotado","")</f>
        <v/>
      </c>
      <c r="J17" s="31" t="n">
        <f aca="false">H17*(1-PREMISSAS!$C$24)</f>
        <v>4.73239351829907</v>
      </c>
      <c r="K17" s="31" t="n">
        <f aca="false">H17*PREMISSAS!$C$24</f>
        <v>4.73239351829907</v>
      </c>
    </row>
    <row r="18" customFormat="false" ht="15" hidden="false" customHeight="false" outlineLevel="0" collapsed="false">
      <c r="B18" s="55" t="s">
        <v>52</v>
      </c>
      <c r="C18" s="56" t="n">
        <f aca="false">PREMISSAS!C16</f>
        <v>0.15</v>
      </c>
      <c r="D18" s="34" t="n">
        <f aca="false">PREMISSAS!$C$29*(1+C18)</f>
        <v>309995.702</v>
      </c>
      <c r="E18" s="34" t="n">
        <f aca="false">D18/(1-PREMISSAS!$C$10)</f>
        <v>397430.387179487</v>
      </c>
      <c r="F18" s="31" t="n">
        <f aca="false">E18/PREMISSAS!$C$25</f>
        <v>296.850138875123</v>
      </c>
      <c r="G18" s="31" t="n">
        <f aca="false">F18*7/PREMISSAS!$C$8</f>
        <v>69.2650324041955</v>
      </c>
      <c r="H18" s="31" t="n">
        <f aca="false">F18/PREMISSAS!$C$8</f>
        <v>9.89500462917078</v>
      </c>
      <c r="I18" s="57" t="str">
        <f aca="false">IF(B18=PREMISSAS!$C$13,"◀ adotado","")</f>
        <v/>
      </c>
      <c r="J18" s="31" t="n">
        <f aca="false">H18*(1-PREMISSAS!$C$24)</f>
        <v>4.94750231458539</v>
      </c>
      <c r="K18" s="31" t="n">
        <f aca="false">H18*PREMISSAS!$C$24</f>
        <v>4.94750231458539</v>
      </c>
    </row>
    <row r="19" customFormat="false" ht="15" hidden="false" customHeight="false" outlineLevel="0" collapsed="false">
      <c r="B19" s="55" t="s">
        <v>43</v>
      </c>
      <c r="C19" s="56" t="n">
        <f aca="false">PREMISSAS!C17</f>
        <v>0.2</v>
      </c>
      <c r="D19" s="34" t="n">
        <f aca="false">PREMISSAS!$C$29*(1+C19)</f>
        <v>323473.776</v>
      </c>
      <c r="E19" s="34" t="n">
        <f aca="false">D19/(1-PREMISSAS!$C$10)</f>
        <v>414709.969230769</v>
      </c>
      <c r="F19" s="31" t="n">
        <f aca="false">E19/PREMISSAS!$C$25</f>
        <v>309.756666652303</v>
      </c>
      <c r="G19" s="31" t="n">
        <f aca="false">F19*7/PREMISSAS!$C$8</f>
        <v>72.276555552204</v>
      </c>
      <c r="H19" s="31" t="n">
        <f aca="false">F19/PREMISSAS!$C$8</f>
        <v>10.3252222217434</v>
      </c>
      <c r="I19" s="57" t="str">
        <f aca="false">IF(B19=PREMISSAS!$C$13,"◀ adotado","")</f>
        <v>◀ adotado</v>
      </c>
      <c r="J19" s="31" t="n">
        <f aca="false">H19*(1-PREMISSAS!$C$24)</f>
        <v>5.16261111087171</v>
      </c>
      <c r="K19" s="31" t="n">
        <f aca="false">H19*PREMISSAS!$C$24</f>
        <v>5.16261111087171</v>
      </c>
    </row>
    <row r="20" customFormat="false" ht="15" hidden="false" customHeight="false" outlineLevel="0" collapsed="false">
      <c r="B20" s="63" t="s">
        <v>224</v>
      </c>
      <c r="C20" s="63"/>
      <c r="D20" s="63"/>
      <c r="E20" s="63"/>
      <c r="F20" s="64" t="n">
        <f aca="false">PREMISSAS!$C$29/PREMISSAS!$C$22</f>
        <v>328.233156773212</v>
      </c>
      <c r="G20" s="64" t="n">
        <f aca="false">F20*7/PREMISSAS!$C$8</f>
        <v>76.587736580416</v>
      </c>
      <c r="H20" s="64" t="n">
        <f aca="false">F20/PREMISSAS!$C$8</f>
        <v>10.9411052257737</v>
      </c>
    </row>
    <row r="21" customFormat="false" ht="15" hidden="false" customHeight="false" outlineLevel="0" collapsed="false">
      <c r="B21" s="63" t="s">
        <v>225</v>
      </c>
      <c r="C21" s="63"/>
      <c r="D21" s="63"/>
      <c r="E21" s="63"/>
      <c r="F21" s="64" t="n">
        <f aca="false">PREMISSAS!$C$29/PREMISSAS!$C$23</f>
        <v>145.206571859513</v>
      </c>
      <c r="G21" s="64" t="n">
        <f aca="false">F21*7/PREMISSAS!$C$8</f>
        <v>33.8815334338864</v>
      </c>
      <c r="H21" s="64" t="n">
        <f aca="false">F21/PREMISSAS!$C$8</f>
        <v>4.84021906198377</v>
      </c>
    </row>
    <row r="22" customFormat="false" ht="15" hidden="false" customHeight="false" outlineLevel="0" collapsed="false">
      <c r="B22" s="3" t="s">
        <v>226</v>
      </c>
      <c r="C22" s="3"/>
      <c r="D22" s="3"/>
      <c r="E22" s="3"/>
      <c r="F22" s="3"/>
      <c r="G22" s="3"/>
      <c r="H22" s="3"/>
      <c r="I22" s="3"/>
      <c r="J22" s="3"/>
      <c r="K22" s="3"/>
    </row>
    <row r="23" customFormat="false" ht="24" hidden="false" customHeight="true" outlineLevel="0" collapsed="false">
      <c r="B23" s="27" t="s">
        <v>189</v>
      </c>
      <c r="C23" s="27" t="s">
        <v>190</v>
      </c>
      <c r="D23" s="27" t="s">
        <v>215</v>
      </c>
      <c r="E23" s="27" t="s">
        <v>216</v>
      </c>
    </row>
    <row r="24" customFormat="false" ht="15" hidden="false" customHeight="false" outlineLevel="0" collapsed="false">
      <c r="B24" s="55" t="s">
        <v>46</v>
      </c>
      <c r="C24" s="56" t="n">
        <f aca="false">PREMISSAS!C14</f>
        <v>0</v>
      </c>
      <c r="D24" s="34" t="n">
        <f aca="false">PREMISSAS!$C$30*(1+C24)</f>
        <v>506854.32</v>
      </c>
      <c r="E24" s="34" t="n">
        <f aca="false">D24/(1-PREMISSAS!$C$10)</f>
        <v>649813.230769231</v>
      </c>
      <c r="F24" s="57" t="str">
        <f aca="false">IF(B24=PREMISSAS!$C$13,"◀ adotado","")</f>
        <v/>
      </c>
    </row>
    <row r="25" customFormat="false" ht="15" hidden="false" customHeight="false" outlineLevel="0" collapsed="false">
      <c r="B25" s="55" t="s">
        <v>49</v>
      </c>
      <c r="C25" s="56" t="n">
        <f aca="false">PREMISSAS!C15</f>
        <v>0.1</v>
      </c>
      <c r="D25" s="34" t="n">
        <f aca="false">PREMISSAS!$C$30*(1+C25)</f>
        <v>557539.752</v>
      </c>
      <c r="E25" s="34" t="n">
        <f aca="false">D25/(1-PREMISSAS!$C$10)</f>
        <v>714794.553846154</v>
      </c>
      <c r="F25" s="57" t="str">
        <f aca="false">IF(B25=PREMISSAS!$C$13,"◀ adotado","")</f>
        <v/>
      </c>
    </row>
    <row r="26" customFormat="false" ht="15" hidden="false" customHeight="false" outlineLevel="0" collapsed="false">
      <c r="B26" s="55" t="s">
        <v>52</v>
      </c>
      <c r="C26" s="56" t="n">
        <f aca="false">PREMISSAS!C16</f>
        <v>0.15</v>
      </c>
      <c r="D26" s="34" t="n">
        <f aca="false">PREMISSAS!$C$30*(1+C26)</f>
        <v>582882.468</v>
      </c>
      <c r="E26" s="34" t="n">
        <f aca="false">D26/(1-PREMISSAS!$C$10)</f>
        <v>747285.215384615</v>
      </c>
      <c r="F26" s="57" t="str">
        <f aca="false">IF(B26=PREMISSAS!$C$13,"◀ adotado","")</f>
        <v/>
      </c>
    </row>
    <row r="27" customFormat="false" ht="15" hidden="false" customHeight="false" outlineLevel="0" collapsed="false">
      <c r="B27" s="55" t="s">
        <v>43</v>
      </c>
      <c r="C27" s="56" t="n">
        <f aca="false">PREMISSAS!C17</f>
        <v>0.2</v>
      </c>
      <c r="D27" s="34" t="n">
        <f aca="false">PREMISSAS!$C$30*(1+C27)</f>
        <v>608225.184</v>
      </c>
      <c r="E27" s="34" t="n">
        <f aca="false">D27/(1-PREMISSAS!$C$10)</f>
        <v>779775.876923077</v>
      </c>
      <c r="F27" s="57" t="str">
        <f aca="false">IF(B27=PREMISSAS!$C$13,"◀ adotado","")</f>
        <v>◀ adotado</v>
      </c>
    </row>
    <row r="29" customFormat="false" ht="15" hidden="false" customHeight="true" outlineLevel="0" collapsed="false">
      <c r="B29" s="40" t="s">
        <v>227</v>
      </c>
      <c r="C29" s="40"/>
      <c r="D29" s="40"/>
      <c r="E29" s="40"/>
      <c r="F29" s="40"/>
      <c r="G29" s="40"/>
      <c r="H29" s="40"/>
      <c r="I29" s="40"/>
      <c r="J29" s="40"/>
      <c r="K29" s="40"/>
    </row>
  </sheetData>
  <mergeCells count="11">
    <mergeCell ref="B2:K2"/>
    <mergeCell ref="B3:K3"/>
    <mergeCell ref="B4:K4"/>
    <mergeCell ref="C5:D5"/>
    <mergeCell ref="B11:E11"/>
    <mergeCell ref="B13:K13"/>
    <mergeCell ref="C14:D14"/>
    <mergeCell ref="B20:E20"/>
    <mergeCell ref="B21:E21"/>
    <mergeCell ref="B22:K22"/>
    <mergeCell ref="B29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4.71"/>
    <col collapsed="false" customWidth="true" hidden="false" outlineLevel="0" max="7" min="7" style="0" width="14"/>
    <col collapsed="false" customWidth="true" hidden="false" outlineLevel="0" max="8" min="8" style="0" width="36.71"/>
  </cols>
  <sheetData>
    <row r="2" customFormat="false" ht="24" hidden="false" customHeight="true" outlineLevel="0" collapsed="false">
      <c r="B2" s="1" t="s">
        <v>228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229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230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27" t="s">
        <v>231</v>
      </c>
      <c r="C6" s="27" t="s">
        <v>232</v>
      </c>
      <c r="D6" s="27" t="s">
        <v>233</v>
      </c>
      <c r="E6" s="27" t="s">
        <v>234</v>
      </c>
      <c r="F6" s="27" t="s">
        <v>235</v>
      </c>
      <c r="G6" s="27" t="s">
        <v>236</v>
      </c>
      <c r="H6" s="27" t="s">
        <v>237</v>
      </c>
    </row>
    <row r="7" customFormat="false" ht="15" hidden="false" customHeight="false" outlineLevel="0" collapsed="false">
      <c r="B7" s="55" t="s">
        <v>238</v>
      </c>
      <c r="C7" s="7" t="s">
        <v>239</v>
      </c>
      <c r="D7" s="7" t="s">
        <v>240</v>
      </c>
      <c r="E7" s="65" t="n">
        <v>2951</v>
      </c>
      <c r="F7" s="65" t="n">
        <v>1712</v>
      </c>
      <c r="G7" s="65" t="n">
        <v>1679</v>
      </c>
      <c r="H7" s="66" t="n">
        <f aca="false">E7+F7+G7</f>
        <v>6342</v>
      </c>
    </row>
    <row r="8" customFormat="false" ht="15" hidden="false" customHeight="false" outlineLevel="0" collapsed="false">
      <c r="B8" s="55" t="s">
        <v>238</v>
      </c>
      <c r="C8" s="7" t="s">
        <v>241</v>
      </c>
      <c r="D8" s="7" t="s">
        <v>242</v>
      </c>
      <c r="E8" s="65" t="n">
        <v>3932</v>
      </c>
      <c r="F8" s="65" t="n">
        <v>2281</v>
      </c>
      <c r="G8" s="65" t="n">
        <v>1679</v>
      </c>
      <c r="H8" s="66" t="n">
        <f aca="false">E8+F8+G8</f>
        <v>7892</v>
      </c>
    </row>
    <row r="9" customFormat="false" ht="15" hidden="false" customHeight="false" outlineLevel="0" collapsed="false">
      <c r="B9" s="55" t="s">
        <v>238</v>
      </c>
      <c r="C9" s="7" t="s">
        <v>243</v>
      </c>
      <c r="D9" s="7" t="s">
        <v>240</v>
      </c>
      <c r="E9" s="65" t="n">
        <v>2951</v>
      </c>
      <c r="F9" s="65" t="n">
        <v>1712</v>
      </c>
      <c r="G9" s="65" t="n">
        <v>1679</v>
      </c>
      <c r="H9" s="66" t="n">
        <f aca="false">E9+F9+G9</f>
        <v>6342</v>
      </c>
    </row>
    <row r="10" customFormat="false" ht="15" hidden="false" customHeight="false" outlineLevel="0" collapsed="false">
      <c r="B10" s="55" t="s">
        <v>244</v>
      </c>
      <c r="C10" s="7" t="s">
        <v>245</v>
      </c>
      <c r="D10" s="7" t="s">
        <v>246</v>
      </c>
      <c r="E10" s="65" t="n">
        <v>3908</v>
      </c>
      <c r="F10" s="65" t="n">
        <v>2267</v>
      </c>
      <c r="G10" s="65" t="n">
        <v>1679</v>
      </c>
      <c r="H10" s="66" t="n">
        <f aca="false">E10+F10+G10</f>
        <v>7854</v>
      </c>
    </row>
    <row r="11" customFormat="false" ht="15" hidden="false" customHeight="false" outlineLevel="0" collapsed="false">
      <c r="B11" s="55" t="s">
        <v>244</v>
      </c>
      <c r="C11" s="7" t="s">
        <v>247</v>
      </c>
      <c r="D11" s="7" t="s">
        <v>240</v>
      </c>
      <c r="E11" s="65" t="n">
        <v>2951</v>
      </c>
      <c r="F11" s="65" t="n">
        <v>1712</v>
      </c>
      <c r="G11" s="65" t="n">
        <v>1679</v>
      </c>
      <c r="H11" s="66" t="n">
        <f aca="false">E11+F11+G11</f>
        <v>6342</v>
      </c>
    </row>
    <row r="12" customFormat="false" ht="15" hidden="false" customHeight="false" outlineLevel="0" collapsed="false">
      <c r="B12" s="55" t="s">
        <v>244</v>
      </c>
      <c r="C12" s="7" t="s">
        <v>248</v>
      </c>
      <c r="D12" s="7" t="s">
        <v>249</v>
      </c>
      <c r="E12" s="65" t="n">
        <v>3633</v>
      </c>
      <c r="F12" s="65" t="n">
        <v>2107</v>
      </c>
      <c r="G12" s="65" t="n">
        <v>1679</v>
      </c>
      <c r="H12" s="66" t="n">
        <f aca="false">E12+F12+G12</f>
        <v>7419</v>
      </c>
    </row>
    <row r="13" customFormat="false" ht="15" hidden="false" customHeight="false" outlineLevel="0" collapsed="false">
      <c r="B13" s="55" t="s">
        <v>250</v>
      </c>
      <c r="C13" s="7" t="s">
        <v>251</v>
      </c>
      <c r="D13" s="7" t="s">
        <v>240</v>
      </c>
      <c r="E13" s="65" t="n">
        <v>2951</v>
      </c>
      <c r="F13" s="65" t="n">
        <v>1712</v>
      </c>
      <c r="G13" s="65" t="n">
        <v>1679</v>
      </c>
      <c r="H13" s="66" t="n">
        <f aca="false">E13+F13+G13</f>
        <v>6342</v>
      </c>
    </row>
    <row r="14" customFormat="false" ht="15" hidden="false" customHeight="false" outlineLevel="0" collapsed="false">
      <c r="B14" s="55" t="s">
        <v>250</v>
      </c>
      <c r="C14" s="7" t="s">
        <v>252</v>
      </c>
      <c r="D14" s="7" t="s">
        <v>249</v>
      </c>
      <c r="E14" s="65" t="n">
        <v>3633</v>
      </c>
      <c r="F14" s="65" t="n">
        <v>2107</v>
      </c>
      <c r="G14" s="65" t="n">
        <v>1679</v>
      </c>
      <c r="H14" s="66" t="n">
        <f aca="false">E14+F14+G14</f>
        <v>7419</v>
      </c>
    </row>
    <row r="15" customFormat="false" ht="15" hidden="false" customHeight="false" outlineLevel="0" collapsed="false">
      <c r="B15" s="55" t="s">
        <v>250</v>
      </c>
      <c r="C15" s="7" t="s">
        <v>253</v>
      </c>
      <c r="D15" s="7" t="s">
        <v>240</v>
      </c>
      <c r="E15" s="65" t="n">
        <v>2951</v>
      </c>
      <c r="F15" s="65" t="n">
        <v>1712</v>
      </c>
      <c r="G15" s="65" t="n">
        <v>1679</v>
      </c>
      <c r="H15" s="66" t="n">
        <f aca="false">E15+F15+G15</f>
        <v>6342</v>
      </c>
    </row>
    <row r="16" customFormat="false" ht="15" hidden="false" customHeight="false" outlineLevel="0" collapsed="false">
      <c r="B16" s="55" t="s">
        <v>250</v>
      </c>
      <c r="C16" s="7" t="s">
        <v>254</v>
      </c>
      <c r="D16" s="7" t="s">
        <v>255</v>
      </c>
      <c r="E16" s="65" t="n">
        <v>3947</v>
      </c>
      <c r="F16" s="65" t="n">
        <v>2289</v>
      </c>
      <c r="G16" s="65" t="n">
        <v>1679</v>
      </c>
      <c r="H16" s="66" t="n">
        <f aca="false">E16+F16+G16</f>
        <v>7915</v>
      </c>
    </row>
    <row r="17" customFormat="false" ht="15" hidden="false" customHeight="false" outlineLevel="0" collapsed="false">
      <c r="B17" s="55" t="s">
        <v>256</v>
      </c>
      <c r="C17" s="7" t="s">
        <v>257</v>
      </c>
      <c r="D17" s="7" t="s">
        <v>240</v>
      </c>
      <c r="E17" s="65" t="n">
        <v>2951</v>
      </c>
      <c r="F17" s="65" t="n">
        <v>1712</v>
      </c>
      <c r="G17" s="65" t="n">
        <v>1679</v>
      </c>
      <c r="H17" s="66" t="n">
        <f aca="false">E17+F17+G17</f>
        <v>6342</v>
      </c>
    </row>
    <row r="18" customFormat="false" ht="15" hidden="false" customHeight="false" outlineLevel="0" collapsed="false">
      <c r="B18" s="55" t="s">
        <v>256</v>
      </c>
      <c r="C18" s="7" t="s">
        <v>258</v>
      </c>
      <c r="D18" s="7" t="s">
        <v>242</v>
      </c>
      <c r="E18" s="65" t="n">
        <v>3932</v>
      </c>
      <c r="F18" s="65" t="n">
        <v>2281</v>
      </c>
      <c r="G18" s="65" t="n">
        <v>1679</v>
      </c>
      <c r="H18" s="66" t="n">
        <f aca="false">E18+F18+G18</f>
        <v>7892</v>
      </c>
    </row>
    <row r="19" customFormat="false" ht="15" hidden="false" customHeight="false" outlineLevel="0" collapsed="false">
      <c r="B19" s="55" t="s">
        <v>256</v>
      </c>
      <c r="C19" s="7" t="s">
        <v>259</v>
      </c>
      <c r="D19" s="7" t="s">
        <v>249</v>
      </c>
      <c r="E19" s="65" t="n">
        <v>3633</v>
      </c>
      <c r="F19" s="65" t="n">
        <v>2107</v>
      </c>
      <c r="G19" s="65" t="n">
        <v>1679</v>
      </c>
      <c r="H19" s="66" t="n">
        <f aca="false">E19+F19+G19</f>
        <v>7419</v>
      </c>
    </row>
    <row r="20" customFormat="false" ht="15" hidden="false" customHeight="false" outlineLevel="0" collapsed="false">
      <c r="B20" s="55" t="s">
        <v>44</v>
      </c>
      <c r="C20" s="7"/>
      <c r="D20" s="7" t="s">
        <v>260</v>
      </c>
      <c r="E20" s="65" t="n">
        <v>2548</v>
      </c>
      <c r="F20" s="65" t="n">
        <v>1477.84</v>
      </c>
      <c r="G20" s="65" t="n">
        <v>1679</v>
      </c>
      <c r="H20" s="66" t="n">
        <f aca="false">E20+F20+G20</f>
        <v>5704.84</v>
      </c>
    </row>
    <row r="21" customFormat="false" ht="15" hidden="false" customHeight="false" outlineLevel="0" collapsed="false">
      <c r="B21" s="55" t="s">
        <v>44</v>
      </c>
      <c r="C21" s="7" t="s">
        <v>261</v>
      </c>
      <c r="D21" s="7" t="s">
        <v>262</v>
      </c>
      <c r="E21" s="65" t="n">
        <v>4713</v>
      </c>
      <c r="F21" s="65" t="n">
        <v>2734</v>
      </c>
      <c r="G21" s="65" t="n">
        <v>1679</v>
      </c>
      <c r="H21" s="66" t="n">
        <f aca="false">E21+F21+G21</f>
        <v>9126</v>
      </c>
    </row>
    <row r="22" customFormat="false" ht="15" hidden="false" customHeight="false" outlineLevel="0" collapsed="false">
      <c r="B22" s="38" t="s">
        <v>137</v>
      </c>
      <c r="C22" s="38" t="s">
        <v>263</v>
      </c>
      <c r="D22" s="7"/>
      <c r="E22" s="67" t="n">
        <f aca="false">SUM(E7:E21)</f>
        <v>51585</v>
      </c>
      <c r="F22" s="67" t="n">
        <f aca="false">SUM(F7:F21)</f>
        <v>29922.84</v>
      </c>
      <c r="G22" s="67" t="n">
        <f aca="false">SUM(G7:G21)</f>
        <v>25185</v>
      </c>
      <c r="H22" s="67" t="n">
        <f aca="false">SUM(H7:H21)</f>
        <v>106692.84</v>
      </c>
    </row>
    <row r="24" customFormat="false" ht="15" hidden="false" customHeight="false" outlineLevel="0" collapsed="false">
      <c r="B24" s="3" t="s">
        <v>264</v>
      </c>
      <c r="C24" s="3"/>
      <c r="D24" s="3"/>
      <c r="E24" s="3"/>
      <c r="F24" s="3"/>
      <c r="G24" s="3"/>
    </row>
    <row r="25" customFormat="false" ht="15" hidden="false" customHeight="false" outlineLevel="0" collapsed="false">
      <c r="B25" s="27" t="s">
        <v>265</v>
      </c>
      <c r="D25" s="27" t="s">
        <v>266</v>
      </c>
      <c r="E25" s="27" t="s">
        <v>267</v>
      </c>
      <c r="F25" s="27" t="s">
        <v>268</v>
      </c>
    </row>
    <row r="26" customFormat="false" ht="15" hidden="false" customHeight="false" outlineLevel="0" collapsed="false">
      <c r="B26" s="68" t="s">
        <v>269</v>
      </c>
      <c r="C26" s="68"/>
      <c r="D26" s="11" t="n">
        <v>1</v>
      </c>
      <c r="E26" s="65" t="n">
        <v>13000</v>
      </c>
      <c r="F26" s="66" t="n">
        <f aca="false">D26*E26</f>
        <v>13000</v>
      </c>
    </row>
    <row r="27" customFormat="false" ht="15" hidden="false" customHeight="false" outlineLevel="0" collapsed="false">
      <c r="B27" s="68" t="s">
        <v>270</v>
      </c>
      <c r="C27" s="68"/>
      <c r="D27" s="11" t="n">
        <v>4</v>
      </c>
      <c r="E27" s="65" t="n">
        <v>7200</v>
      </c>
      <c r="F27" s="66" t="n">
        <f aca="false">D27*E27</f>
        <v>28800</v>
      </c>
      <c r="H27" s="10" t="s">
        <v>271</v>
      </c>
    </row>
    <row r="28" customFormat="false" ht="15" hidden="false" customHeight="false" outlineLevel="0" collapsed="false">
      <c r="B28" s="68" t="s">
        <v>272</v>
      </c>
      <c r="C28" s="68"/>
      <c r="D28" s="11" t="n">
        <v>1</v>
      </c>
      <c r="E28" s="65" t="n">
        <v>3400</v>
      </c>
      <c r="F28" s="66" t="n">
        <f aca="false">D28*E28</f>
        <v>3400</v>
      </c>
    </row>
    <row r="29" customFormat="false" ht="15" hidden="false" customHeight="false" outlineLevel="0" collapsed="false">
      <c r="B29" s="68" t="s">
        <v>273</v>
      </c>
      <c r="C29" s="68"/>
      <c r="D29" s="11" t="n">
        <v>1</v>
      </c>
      <c r="E29" s="65" t="n">
        <v>3500</v>
      </c>
      <c r="F29" s="66" t="n">
        <f aca="false">D29*E29</f>
        <v>3500</v>
      </c>
    </row>
    <row r="30" customFormat="false" ht="15" hidden="false" customHeight="false" outlineLevel="0" collapsed="false">
      <c r="B30" s="68" t="s">
        <v>274</v>
      </c>
      <c r="C30" s="68"/>
      <c r="D30" s="11" t="n">
        <v>1</v>
      </c>
      <c r="E30" s="65" t="n">
        <v>25000</v>
      </c>
      <c r="F30" s="66" t="n">
        <f aca="false">D30*E30</f>
        <v>25000</v>
      </c>
    </row>
    <row r="31" customFormat="false" ht="15" hidden="false" customHeight="false" outlineLevel="0" collapsed="false">
      <c r="B31" s="68" t="s">
        <v>275</v>
      </c>
      <c r="C31" s="68"/>
      <c r="D31" s="11" t="n">
        <v>3</v>
      </c>
      <c r="E31" s="65" t="n">
        <v>3500</v>
      </c>
      <c r="F31" s="66" t="n">
        <f aca="false">D31*E31</f>
        <v>10500</v>
      </c>
    </row>
    <row r="32" customFormat="false" ht="15" hidden="false" customHeight="false" outlineLevel="0" collapsed="false">
      <c r="B32" s="68" t="s">
        <v>276</v>
      </c>
      <c r="C32" s="68"/>
      <c r="D32" s="11" t="n">
        <v>1</v>
      </c>
      <c r="E32" s="65" t="n">
        <v>13500</v>
      </c>
      <c r="F32" s="66" t="n">
        <f aca="false">D32*E32</f>
        <v>13500</v>
      </c>
    </row>
    <row r="33" customFormat="false" ht="15" hidden="false" customHeight="false" outlineLevel="0" collapsed="false">
      <c r="B33" s="68" t="s">
        <v>277</v>
      </c>
      <c r="C33" s="68"/>
      <c r="D33" s="11" t="n">
        <v>1</v>
      </c>
      <c r="E33" s="65" t="n">
        <v>12900</v>
      </c>
      <c r="F33" s="66" t="n">
        <f aca="false">D33*E33</f>
        <v>12900</v>
      </c>
    </row>
    <row r="34" customFormat="false" ht="15" hidden="false" customHeight="false" outlineLevel="0" collapsed="false">
      <c r="B34" s="68" t="s">
        <v>278</v>
      </c>
      <c r="C34" s="68"/>
      <c r="D34" s="11" t="n">
        <v>1</v>
      </c>
      <c r="E34" s="65" t="n">
        <v>20000</v>
      </c>
      <c r="F34" s="66" t="n">
        <f aca="false">D34*E34</f>
        <v>20000</v>
      </c>
    </row>
    <row r="35" customFormat="false" ht="15" hidden="false" customHeight="false" outlineLevel="0" collapsed="false">
      <c r="B35" s="68" t="s">
        <v>279</v>
      </c>
      <c r="C35" s="68"/>
      <c r="D35" s="11" t="n">
        <v>1</v>
      </c>
      <c r="E35" s="61" t="n">
        <f aca="false">H22</f>
        <v>106692.84</v>
      </c>
      <c r="F35" s="66" t="n">
        <f aca="false">D35*E35</f>
        <v>106692.84</v>
      </c>
    </row>
    <row r="36" customFormat="false" ht="15" hidden="false" customHeight="false" outlineLevel="0" collapsed="false">
      <c r="B36" s="69" t="s">
        <v>280</v>
      </c>
      <c r="C36" s="69"/>
      <c r="F36" s="70" t="n">
        <f aca="false">SUM(F26:F35)</f>
        <v>237292.84</v>
      </c>
    </row>
    <row r="38" customFormat="false" ht="15" hidden="false" customHeight="false" outlineLevel="0" collapsed="false">
      <c r="B38" s="68" t="s">
        <v>281</v>
      </c>
      <c r="C38" s="68"/>
      <c r="F38" s="66" t="n">
        <f aca="false">F36*7/PREMISSAS!$C$8</f>
        <v>55368.3293333333</v>
      </c>
    </row>
    <row r="39" customFormat="false" ht="15" hidden="false" customHeight="false" outlineLevel="0" collapsed="false">
      <c r="B39" s="68" t="s">
        <v>282</v>
      </c>
      <c r="C39" s="68"/>
      <c r="F39" s="66" t="n">
        <f aca="false">F36/2</f>
        <v>118646.42</v>
      </c>
    </row>
    <row r="40" customFormat="false" ht="15" hidden="false" customHeight="false" outlineLevel="0" collapsed="false">
      <c r="B40" s="68" t="s">
        <v>283</v>
      </c>
      <c r="C40" s="68"/>
      <c r="F40" s="66" t="n">
        <f aca="false">F36/PREMISSAS!$C$8</f>
        <v>7909.76133333333</v>
      </c>
    </row>
  </sheetData>
  <mergeCells count="18">
    <mergeCell ref="B2:G2"/>
    <mergeCell ref="B3:G3"/>
    <mergeCell ref="B5:G5"/>
    <mergeCell ref="B24:G24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8:C38"/>
    <mergeCell ref="B39:C39"/>
    <mergeCell ref="B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E43" activeCellId="0" sqref="E4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4.71"/>
    <col collapsed="false" customWidth="true" hidden="false" outlineLevel="0" max="7" min="7" style="0" width="14"/>
    <col collapsed="false" customWidth="true" hidden="false" outlineLevel="0" max="8" min="8" style="0" width="46"/>
  </cols>
  <sheetData>
    <row r="2" customFormat="false" ht="24" hidden="false" customHeight="true" outlineLevel="0" collapsed="false">
      <c r="B2" s="1" t="s">
        <v>284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229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230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27" t="s">
        <v>231</v>
      </c>
      <c r="C6" s="27" t="s">
        <v>232</v>
      </c>
      <c r="D6" s="27" t="s">
        <v>233</v>
      </c>
      <c r="E6" s="27" t="s">
        <v>234</v>
      </c>
      <c r="F6" s="27" t="s">
        <v>235</v>
      </c>
      <c r="G6" s="27" t="s">
        <v>236</v>
      </c>
      <c r="H6" s="27" t="s">
        <v>237</v>
      </c>
    </row>
    <row r="7" customFormat="false" ht="15" hidden="false" customHeight="false" outlineLevel="0" collapsed="false">
      <c r="B7" s="55" t="s">
        <v>238</v>
      </c>
      <c r="C7" s="7" t="s">
        <v>285</v>
      </c>
      <c r="D7" s="7" t="s">
        <v>240</v>
      </c>
      <c r="E7" s="65" t="n">
        <v>2951</v>
      </c>
      <c r="F7" s="65" t="n">
        <v>1712</v>
      </c>
      <c r="G7" s="65" t="n">
        <v>1679</v>
      </c>
      <c r="H7" s="66" t="n">
        <f aca="false">E7+F7+G7</f>
        <v>6342</v>
      </c>
    </row>
    <row r="8" customFormat="false" ht="15" hidden="false" customHeight="false" outlineLevel="0" collapsed="false">
      <c r="B8" s="55" t="s">
        <v>238</v>
      </c>
      <c r="C8" s="7" t="s">
        <v>286</v>
      </c>
      <c r="D8" s="7" t="s">
        <v>242</v>
      </c>
      <c r="E8" s="65" t="n">
        <v>3932</v>
      </c>
      <c r="F8" s="65" t="n">
        <v>2281</v>
      </c>
      <c r="G8" s="65" t="n">
        <v>1679</v>
      </c>
      <c r="H8" s="66" t="n">
        <f aca="false">E8+F8+G8</f>
        <v>7892</v>
      </c>
    </row>
    <row r="9" customFormat="false" ht="15" hidden="false" customHeight="false" outlineLevel="0" collapsed="false">
      <c r="B9" s="55" t="s">
        <v>238</v>
      </c>
      <c r="C9" s="7" t="s">
        <v>287</v>
      </c>
      <c r="D9" s="7" t="s">
        <v>288</v>
      </c>
      <c r="E9" s="65" t="n">
        <v>3633</v>
      </c>
      <c r="F9" s="65" t="n">
        <v>2107</v>
      </c>
      <c r="G9" s="65" t="n">
        <v>1679</v>
      </c>
      <c r="H9" s="66" t="n">
        <f aca="false">E9+F9+G9</f>
        <v>7419</v>
      </c>
    </row>
    <row r="10" customFormat="false" ht="15" hidden="false" customHeight="false" outlineLevel="0" collapsed="false">
      <c r="B10" s="55" t="s">
        <v>244</v>
      </c>
      <c r="C10" s="7" t="s">
        <v>289</v>
      </c>
      <c r="D10" s="7" t="s">
        <v>288</v>
      </c>
      <c r="E10" s="65" t="n">
        <v>3633</v>
      </c>
      <c r="F10" s="65" t="n">
        <v>2107</v>
      </c>
      <c r="G10" s="65" t="n">
        <v>1679</v>
      </c>
      <c r="H10" s="66" t="n">
        <f aca="false">E10+F10+G10</f>
        <v>7419</v>
      </c>
    </row>
    <row r="11" customFormat="false" ht="15" hidden="false" customHeight="false" outlineLevel="0" collapsed="false">
      <c r="B11" s="55" t="s">
        <v>244</v>
      </c>
      <c r="C11" s="7" t="s">
        <v>290</v>
      </c>
      <c r="D11" s="7" t="s">
        <v>240</v>
      </c>
      <c r="E11" s="65" t="n">
        <v>2951</v>
      </c>
      <c r="F11" s="65" t="n">
        <v>1712</v>
      </c>
      <c r="G11" s="65" t="n">
        <v>1679</v>
      </c>
      <c r="H11" s="66" t="n">
        <f aca="false">E11+F11+G11</f>
        <v>6342</v>
      </c>
    </row>
    <row r="12" customFormat="false" ht="15" hidden="false" customHeight="false" outlineLevel="0" collapsed="false">
      <c r="B12" s="55" t="s">
        <v>244</v>
      </c>
      <c r="C12" s="7" t="s">
        <v>291</v>
      </c>
      <c r="D12" s="7" t="s">
        <v>242</v>
      </c>
      <c r="E12" s="65" t="n">
        <v>3932</v>
      </c>
      <c r="F12" s="65" t="n">
        <v>2281</v>
      </c>
      <c r="G12" s="65" t="n">
        <v>1679</v>
      </c>
      <c r="H12" s="66" t="n">
        <f aca="false">E12+F12+G12</f>
        <v>7892</v>
      </c>
    </row>
    <row r="13" customFormat="false" ht="15" hidden="false" customHeight="false" outlineLevel="0" collapsed="false">
      <c r="B13" s="55" t="s">
        <v>250</v>
      </c>
      <c r="C13" s="7" t="s">
        <v>292</v>
      </c>
      <c r="D13" s="7" t="s">
        <v>249</v>
      </c>
      <c r="E13" s="65" t="n">
        <v>3633</v>
      </c>
      <c r="F13" s="65" t="n">
        <v>2107</v>
      </c>
      <c r="G13" s="65" t="n">
        <v>1679</v>
      </c>
      <c r="H13" s="66" t="n">
        <f aca="false">E13+F13+G13</f>
        <v>7419</v>
      </c>
    </row>
    <row r="14" customFormat="false" ht="15" hidden="false" customHeight="false" outlineLevel="0" collapsed="false">
      <c r="B14" s="55" t="s">
        <v>250</v>
      </c>
      <c r="C14" s="7" t="s">
        <v>293</v>
      </c>
      <c r="D14" s="7" t="s">
        <v>294</v>
      </c>
      <c r="E14" s="65" t="n">
        <v>3932</v>
      </c>
      <c r="F14" s="65" t="n">
        <v>2281</v>
      </c>
      <c r="G14" s="65" t="n">
        <v>1679</v>
      </c>
      <c r="H14" s="66" t="n">
        <f aca="false">E14+F14+G14</f>
        <v>7892</v>
      </c>
    </row>
    <row r="15" customFormat="false" ht="15" hidden="false" customHeight="false" outlineLevel="0" collapsed="false">
      <c r="B15" s="55" t="s">
        <v>250</v>
      </c>
      <c r="C15" s="7" t="s">
        <v>295</v>
      </c>
      <c r="D15" s="7" t="s">
        <v>240</v>
      </c>
      <c r="E15" s="65" t="n">
        <v>2951</v>
      </c>
      <c r="F15" s="65" t="n">
        <v>1712</v>
      </c>
      <c r="G15" s="65" t="n">
        <v>1679</v>
      </c>
      <c r="H15" s="66" t="n">
        <f aca="false">E15+F15+G15</f>
        <v>6342</v>
      </c>
    </row>
    <row r="16" customFormat="false" ht="15" hidden="false" customHeight="false" outlineLevel="0" collapsed="false">
      <c r="B16" s="55" t="s">
        <v>250</v>
      </c>
      <c r="C16" s="7" t="s">
        <v>296</v>
      </c>
      <c r="D16" s="7" t="s">
        <v>255</v>
      </c>
      <c r="E16" s="65" t="n">
        <v>4979</v>
      </c>
      <c r="F16" s="65" t="n">
        <v>2887.82</v>
      </c>
      <c r="G16" s="65" t="n">
        <v>1679</v>
      </c>
      <c r="H16" s="66" t="n">
        <f aca="false">E16+F16+G16</f>
        <v>9545.82</v>
      </c>
    </row>
    <row r="17" customFormat="false" ht="15" hidden="false" customHeight="false" outlineLevel="0" collapsed="false">
      <c r="B17" s="55" t="s">
        <v>256</v>
      </c>
      <c r="C17" s="7" t="s">
        <v>297</v>
      </c>
      <c r="D17" s="7" t="s">
        <v>249</v>
      </c>
      <c r="E17" s="65" t="n">
        <v>3633</v>
      </c>
      <c r="F17" s="65" t="n">
        <v>2107</v>
      </c>
      <c r="G17" s="65" t="n">
        <v>1679</v>
      </c>
      <c r="H17" s="66" t="n">
        <f aca="false">E17+F17+G17</f>
        <v>7419</v>
      </c>
    </row>
    <row r="18" customFormat="false" ht="15" hidden="false" customHeight="false" outlineLevel="0" collapsed="false">
      <c r="B18" s="55" t="s">
        <v>256</v>
      </c>
      <c r="C18" s="7" t="s">
        <v>298</v>
      </c>
      <c r="D18" s="7" t="s">
        <v>249</v>
      </c>
      <c r="E18" s="65" t="n">
        <v>3633</v>
      </c>
      <c r="F18" s="65" t="n">
        <v>2107</v>
      </c>
      <c r="G18" s="65" t="n">
        <v>1679</v>
      </c>
      <c r="H18" s="66" t="n">
        <f aca="false">E18+F18+G18</f>
        <v>7419</v>
      </c>
    </row>
    <row r="19" customFormat="false" ht="15" hidden="false" customHeight="false" outlineLevel="0" collapsed="false">
      <c r="B19" s="55" t="s">
        <v>256</v>
      </c>
      <c r="C19" s="7" t="s">
        <v>299</v>
      </c>
      <c r="D19" s="7" t="s">
        <v>240</v>
      </c>
      <c r="E19" s="65" t="n">
        <v>2951</v>
      </c>
      <c r="F19" s="65" t="n">
        <v>1712</v>
      </c>
      <c r="G19" s="65" t="n">
        <v>1679</v>
      </c>
      <c r="H19" s="66" t="n">
        <f aca="false">E19+F19+G19</f>
        <v>6342</v>
      </c>
    </row>
    <row r="20" customFormat="false" ht="15" hidden="false" customHeight="false" outlineLevel="0" collapsed="false">
      <c r="B20" s="55" t="s">
        <v>256</v>
      </c>
      <c r="C20" s="7" t="s">
        <v>300</v>
      </c>
      <c r="D20" s="7" t="s">
        <v>255</v>
      </c>
      <c r="E20" s="65" t="n">
        <v>4979</v>
      </c>
      <c r="F20" s="65" t="n">
        <v>2887.82</v>
      </c>
      <c r="G20" s="65" t="n">
        <v>1679</v>
      </c>
      <c r="H20" s="66" t="n">
        <f aca="false">E20+F20+G20</f>
        <v>9545.82</v>
      </c>
    </row>
    <row r="21" customFormat="false" ht="15" hidden="false" customHeight="false" outlineLevel="0" collapsed="false">
      <c r="B21" s="55" t="s">
        <v>44</v>
      </c>
      <c r="C21" s="7" t="s">
        <v>301</v>
      </c>
      <c r="D21" s="7" t="s">
        <v>302</v>
      </c>
      <c r="E21" s="65" t="n">
        <v>2548</v>
      </c>
      <c r="F21" s="65" t="n">
        <v>1477.84</v>
      </c>
      <c r="G21" s="65" t="n">
        <v>1679</v>
      </c>
      <c r="H21" s="66" t="n">
        <f aca="false">E21+F21+G21</f>
        <v>5704.84</v>
      </c>
    </row>
    <row r="22" customFormat="false" ht="15" hidden="false" customHeight="false" outlineLevel="0" collapsed="false">
      <c r="B22" s="55" t="s">
        <v>44</v>
      </c>
      <c r="C22" s="7" t="s">
        <v>303</v>
      </c>
      <c r="D22" s="7" t="s">
        <v>262</v>
      </c>
      <c r="E22" s="65" t="n">
        <v>4713</v>
      </c>
      <c r="F22" s="65" t="n">
        <v>2734</v>
      </c>
      <c r="G22" s="65" t="n">
        <v>1679</v>
      </c>
      <c r="H22" s="66" t="n">
        <f aca="false">E22+F22+G22</f>
        <v>9126</v>
      </c>
    </row>
    <row r="23" customFormat="false" ht="15" hidden="false" customHeight="false" outlineLevel="0" collapsed="false">
      <c r="B23" s="38" t="s">
        <v>137</v>
      </c>
      <c r="C23" s="38" t="s">
        <v>304</v>
      </c>
      <c r="D23" s="7"/>
      <c r="E23" s="67" t="n">
        <f aca="false">SUM(E7:E22)</f>
        <v>58984</v>
      </c>
      <c r="F23" s="67" t="n">
        <f aca="false">SUM(F7:F22)</f>
        <v>34213.48</v>
      </c>
      <c r="G23" s="67" t="n">
        <f aca="false">SUM(G7:G22)</f>
        <v>26864</v>
      </c>
      <c r="H23" s="67" t="n">
        <f aca="false">SUM(H7:H22)</f>
        <v>120061.48</v>
      </c>
    </row>
    <row r="25" customFormat="false" ht="15" hidden="false" customHeight="false" outlineLevel="0" collapsed="false">
      <c r="B25" s="3" t="s">
        <v>264</v>
      </c>
      <c r="C25" s="3"/>
      <c r="D25" s="3"/>
      <c r="E25" s="3"/>
      <c r="F25" s="3"/>
      <c r="G25" s="3"/>
    </row>
    <row r="26" customFormat="false" ht="15" hidden="false" customHeight="false" outlineLevel="0" collapsed="false">
      <c r="B26" s="27" t="s">
        <v>265</v>
      </c>
      <c r="D26" s="27" t="s">
        <v>266</v>
      </c>
      <c r="E26" s="27" t="s">
        <v>267</v>
      </c>
      <c r="F26" s="27" t="s">
        <v>268</v>
      </c>
    </row>
    <row r="27" customFormat="false" ht="15" hidden="false" customHeight="false" outlineLevel="0" collapsed="false">
      <c r="B27" s="68" t="s">
        <v>269</v>
      </c>
      <c r="C27" s="68"/>
      <c r="D27" s="11" t="n">
        <v>1</v>
      </c>
      <c r="E27" s="65" t="n">
        <v>13000</v>
      </c>
      <c r="F27" s="66" t="n">
        <f aca="false">D27*E27</f>
        <v>13000</v>
      </c>
    </row>
    <row r="28" customFormat="false" ht="15" hidden="false" customHeight="false" outlineLevel="0" collapsed="false">
      <c r="B28" s="68" t="s">
        <v>270</v>
      </c>
      <c r="C28" s="68"/>
      <c r="D28" s="11" t="n">
        <v>4</v>
      </c>
      <c r="E28" s="65" t="n">
        <v>7200</v>
      </c>
      <c r="F28" s="66" t="n">
        <f aca="false">D28*E28</f>
        <v>28800</v>
      </c>
      <c r="H28" s="10" t="s">
        <v>271</v>
      </c>
    </row>
    <row r="29" customFormat="false" ht="15" hidden="false" customHeight="false" outlineLevel="0" collapsed="false">
      <c r="B29" s="68" t="s">
        <v>272</v>
      </c>
      <c r="C29" s="68"/>
      <c r="D29" s="11" t="n">
        <v>1</v>
      </c>
      <c r="E29" s="65" t="n">
        <v>3400</v>
      </c>
      <c r="F29" s="66" t="n">
        <f aca="false">D29*E29</f>
        <v>3400</v>
      </c>
    </row>
    <row r="30" customFormat="false" ht="15" hidden="false" customHeight="false" outlineLevel="0" collapsed="false">
      <c r="B30" s="68" t="s">
        <v>273</v>
      </c>
      <c r="C30" s="68"/>
      <c r="D30" s="11" t="n">
        <v>1</v>
      </c>
      <c r="E30" s="65" t="n">
        <v>3400</v>
      </c>
      <c r="F30" s="66" t="n">
        <f aca="false">D30*E30</f>
        <v>3400</v>
      </c>
    </row>
    <row r="31" customFormat="false" ht="15" hidden="false" customHeight="false" outlineLevel="0" collapsed="false">
      <c r="B31" s="68" t="s">
        <v>274</v>
      </c>
      <c r="C31" s="68"/>
      <c r="D31" s="11" t="n">
        <v>2</v>
      </c>
      <c r="E31" s="65" t="n">
        <v>25000</v>
      </c>
      <c r="F31" s="66" t="n">
        <f aca="false">D31*E31</f>
        <v>50000</v>
      </c>
    </row>
    <row r="32" customFormat="false" ht="15" hidden="false" customHeight="false" outlineLevel="0" collapsed="false">
      <c r="B32" s="68" t="s">
        <v>305</v>
      </c>
      <c r="C32" s="68"/>
      <c r="D32" s="11" t="n">
        <v>2</v>
      </c>
      <c r="E32" s="65" t="n">
        <v>6000</v>
      </c>
      <c r="F32" s="66" t="n">
        <f aca="false">D32*E32</f>
        <v>12000</v>
      </c>
    </row>
    <row r="33" customFormat="false" ht="15" hidden="false" customHeight="false" outlineLevel="0" collapsed="false">
      <c r="B33" s="68" t="s">
        <v>276</v>
      </c>
      <c r="C33" s="68"/>
      <c r="D33" s="11" t="n">
        <v>1</v>
      </c>
      <c r="E33" s="65" t="n">
        <v>6000</v>
      </c>
      <c r="F33" s="66" t="n">
        <f aca="false">D33*E33</f>
        <v>6000</v>
      </c>
    </row>
    <row r="34" customFormat="false" ht="15" hidden="false" customHeight="false" outlineLevel="0" collapsed="false">
      <c r="B34" s="68" t="s">
        <v>277</v>
      </c>
      <c r="C34" s="68"/>
      <c r="D34" s="11" t="n">
        <v>1</v>
      </c>
      <c r="E34" s="65" t="n">
        <v>12900</v>
      </c>
      <c r="F34" s="66" t="n">
        <f aca="false">D34*E34</f>
        <v>12900</v>
      </c>
    </row>
    <row r="35" customFormat="false" ht="15" hidden="false" customHeight="false" outlineLevel="0" collapsed="false">
      <c r="B35" s="68" t="s">
        <v>278</v>
      </c>
      <c r="C35" s="68"/>
      <c r="D35" s="11" t="n">
        <v>1</v>
      </c>
      <c r="E35" s="65" t="n">
        <v>20000</v>
      </c>
      <c r="F35" s="66" t="n">
        <f aca="false">D35*E35</f>
        <v>20000</v>
      </c>
    </row>
    <row r="36" customFormat="false" ht="15" hidden="false" customHeight="false" outlineLevel="0" collapsed="false">
      <c r="B36" s="68" t="s">
        <v>279</v>
      </c>
      <c r="C36" s="68"/>
      <c r="D36" s="11" t="n">
        <v>1</v>
      </c>
      <c r="E36" s="61" t="n">
        <f aca="false">H23</f>
        <v>120061.48</v>
      </c>
      <c r="F36" s="66" t="n">
        <f aca="false">D36*E36</f>
        <v>120061.48</v>
      </c>
    </row>
    <row r="37" customFormat="false" ht="15" hidden="false" customHeight="false" outlineLevel="0" collapsed="false">
      <c r="B37" s="69" t="s">
        <v>306</v>
      </c>
      <c r="C37" s="69"/>
      <c r="F37" s="70" t="n">
        <f aca="false">SUM(F27:F36)</f>
        <v>269561.48</v>
      </c>
    </row>
    <row r="39" customFormat="false" ht="15" hidden="false" customHeight="false" outlineLevel="0" collapsed="false">
      <c r="B39" s="68" t="s">
        <v>281</v>
      </c>
      <c r="C39" s="68"/>
      <c r="F39" s="66" t="n">
        <f aca="false">F37*7/PREMISSAS!$C$8</f>
        <v>62897.6786666667</v>
      </c>
    </row>
    <row r="40" customFormat="false" ht="15" hidden="false" customHeight="false" outlineLevel="0" collapsed="false">
      <c r="B40" s="68" t="s">
        <v>282</v>
      </c>
      <c r="C40" s="68"/>
      <c r="F40" s="66" t="n">
        <f aca="false">F37/2</f>
        <v>134780.74</v>
      </c>
    </row>
    <row r="41" customFormat="false" ht="15" hidden="false" customHeight="false" outlineLevel="0" collapsed="false">
      <c r="B41" s="68" t="s">
        <v>283</v>
      </c>
      <c r="C41" s="68"/>
      <c r="F41" s="66" t="n">
        <f aca="false">F37/PREMISSAS!$C$8</f>
        <v>8985.38266666667</v>
      </c>
    </row>
  </sheetData>
  <mergeCells count="18">
    <mergeCell ref="B2:G2"/>
    <mergeCell ref="B3:G3"/>
    <mergeCell ref="B5:G5"/>
    <mergeCell ref="B25:G25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9:C39"/>
    <mergeCell ref="B40:C40"/>
    <mergeCell ref="B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17" min="3" style="0" width="13"/>
    <col collapsed="false" customWidth="true" hidden="false" outlineLevel="0" max="19" min="19" style="0" width="16"/>
  </cols>
  <sheetData>
    <row r="2" customFormat="false" ht="24" hidden="false" customHeight="true" outlineLevel="0" collapsed="false">
      <c r="B2" s="1" t="s">
        <v>307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B3" s="33" t="s">
        <v>308</v>
      </c>
      <c r="C3" s="71" t="n">
        <f aca="false">DATE(YEAR(PREMISSAS!$C$6),MONTH(PREMISSAS!$C$6),1)</f>
        <v>46235</v>
      </c>
      <c r="D3" s="71" t="n">
        <f aca="false">EDATE(C3,1)</f>
        <v>46266</v>
      </c>
      <c r="E3" s="71" t="n">
        <f aca="false">EDATE(D3,1)</f>
        <v>46296</v>
      </c>
      <c r="F3" s="71" t="n">
        <f aca="false">EDATE(E3,1)</f>
        <v>46327</v>
      </c>
      <c r="G3" s="71" t="n">
        <f aca="false">EDATE(F3,1)</f>
        <v>46357</v>
      </c>
      <c r="H3" s="71" t="n">
        <f aca="false">EDATE(G3,1)</f>
        <v>46388</v>
      </c>
      <c r="I3" s="71" t="n">
        <f aca="false">EDATE(H3,1)</f>
        <v>46419</v>
      </c>
      <c r="J3" s="71" t="n">
        <f aca="false">EDATE(I3,1)</f>
        <v>46447</v>
      </c>
      <c r="K3" s="71" t="n">
        <f aca="false">EDATE(J3,1)</f>
        <v>46478</v>
      </c>
      <c r="L3" s="71" t="n">
        <f aca="false">EDATE(K3,1)</f>
        <v>46508</v>
      </c>
      <c r="M3" s="71" t="n">
        <f aca="false">EDATE(L3,1)</f>
        <v>46539</v>
      </c>
      <c r="N3" s="71" t="n">
        <f aca="false">EDATE(M3,1)</f>
        <v>46569</v>
      </c>
      <c r="O3" s="71" t="n">
        <f aca="false">EDATE(N3,1)</f>
        <v>46600</v>
      </c>
      <c r="P3" s="71" t="n">
        <f aca="false">EDATE(O3,1)</f>
        <v>46631</v>
      </c>
      <c r="Q3" s="71" t="n">
        <f aca="false">EDATE(P3,1)</f>
        <v>46661</v>
      </c>
    </row>
    <row r="4" customFormat="false" ht="15" hidden="false" customHeight="false" outlineLevel="0" collapsed="false">
      <c r="B4" s="30" t="s">
        <v>167</v>
      </c>
      <c r="C4" s="72" t="n">
        <f aca="false">MAX(0,MIN(EOMONTH(C3,0),PREMISSAS!$C$7)-MAX(C3,PREMISSAS!$C$6)+1)</f>
        <v>8</v>
      </c>
      <c r="D4" s="72" t="n">
        <f aca="false">MAX(0,MIN(EOMONTH(D3,0),PREMISSAS!$C$7)-MAX(D3,PREMISSAS!$C$6)+1)</f>
        <v>30</v>
      </c>
      <c r="E4" s="72" t="n">
        <f aca="false">MAX(0,MIN(EOMONTH(E3,0),PREMISSAS!$C$7)-MAX(E3,PREMISSAS!$C$6)+1)</f>
        <v>31</v>
      </c>
      <c r="F4" s="72" t="n">
        <f aca="false">MAX(0,MIN(EOMONTH(F3,0),PREMISSAS!$C$7)-MAX(F3,PREMISSAS!$C$6)+1)</f>
        <v>30</v>
      </c>
      <c r="G4" s="72" t="n">
        <f aca="false">MAX(0,MIN(EOMONTH(G3,0),PREMISSAS!$C$7)-MAX(G3,PREMISSAS!$C$6)+1)</f>
        <v>31</v>
      </c>
      <c r="H4" s="72" t="n">
        <f aca="false">MAX(0,MIN(EOMONTH(H3,0),PREMISSAS!$C$7)-MAX(H3,PREMISSAS!$C$6)+1)</f>
        <v>31</v>
      </c>
      <c r="I4" s="72" t="n">
        <f aca="false">MAX(0,MIN(EOMONTH(I3,0),PREMISSAS!$C$7)-MAX(I3,PREMISSAS!$C$6)+1)</f>
        <v>28</v>
      </c>
      <c r="J4" s="72" t="n">
        <f aca="false">MAX(0,MIN(EOMONTH(J3,0),PREMISSAS!$C$7)-MAX(J3,PREMISSAS!$C$6)+1)</f>
        <v>31</v>
      </c>
      <c r="K4" s="72" t="n">
        <f aca="false">MAX(0,MIN(EOMONTH(K3,0),PREMISSAS!$C$7)-MAX(K3,PREMISSAS!$C$6)+1)</f>
        <v>30</v>
      </c>
      <c r="L4" s="72" t="n">
        <f aca="false">MAX(0,MIN(EOMONTH(L3,0),PREMISSAS!$C$7)-MAX(L3,PREMISSAS!$C$6)+1)</f>
        <v>31</v>
      </c>
      <c r="M4" s="72" t="n">
        <f aca="false">MAX(0,MIN(EOMONTH(M3,0),PREMISSAS!$C$7)-MAX(M3,PREMISSAS!$C$6)+1)</f>
        <v>30</v>
      </c>
      <c r="N4" s="72" t="n">
        <f aca="false">MAX(0,MIN(EOMONTH(N3,0),PREMISSAS!$C$7)-MAX(N3,PREMISSAS!$C$6)+1)</f>
        <v>31</v>
      </c>
      <c r="O4" s="72" t="n">
        <f aca="false">MAX(0,MIN(EOMONTH(O3,0),PREMISSAS!$C$7)-MAX(O3,PREMISSAS!$C$6)+1)</f>
        <v>0</v>
      </c>
      <c r="P4" s="72" t="n">
        <f aca="false">MAX(0,MIN(EOMONTH(P3,0),PREMISSAS!$C$7)-MAX(P3,PREMISSAS!$C$6)+1)</f>
        <v>0</v>
      </c>
      <c r="Q4" s="72" t="n">
        <f aca="false">MAX(0,MIN(EOMONTH(Q3,0),PREMISSAS!$C$7)-MAX(Q3,PREMISSAS!$C$6)+1)</f>
        <v>0</v>
      </c>
    </row>
    <row r="5" customFormat="false" ht="15" hidden="false" customHeight="false" outlineLevel="0" collapsed="false">
      <c r="B5" s="30" t="s">
        <v>309</v>
      </c>
      <c r="C5" s="34" t="n">
        <f aca="false">'FCP SEMANAL'!D12</f>
        <v>85182.0451282051</v>
      </c>
      <c r="D5" s="34" t="n">
        <f aca="false">SUM('FCP SEMANAL'!E12:I12)</f>
        <v>425910.225641026</v>
      </c>
      <c r="E5" s="34" t="n">
        <f aca="false">SUM('FCP SEMANAL'!J12:N12)</f>
        <v>425910.225641026</v>
      </c>
      <c r="F5" s="34" t="n">
        <f aca="false">PREMISSAS!$C$28*(1+PREMISSAS!$C$18)/(1-PREMISSAS!$C$10)*F4/PREMISSAS!$C$8</f>
        <v>365065.907692308</v>
      </c>
      <c r="G5" s="34" t="n">
        <f aca="false">PREMISSAS!$C$28*(1+PREMISSAS!$C$18)/(1-PREMISSAS!$C$10)*G4/PREMISSAS!$C$8</f>
        <v>377234.771282051</v>
      </c>
      <c r="H5" s="34" t="n">
        <f aca="false">PREMISSAS!$C$28*(1+PREMISSAS!$C$18)/(1-PREMISSAS!$C$10)*H4/PREMISSAS!$C$8</f>
        <v>377234.771282051</v>
      </c>
      <c r="I5" s="34" t="n">
        <f aca="false">PREMISSAS!$C$28*(1+PREMISSAS!$C$18)/(1-PREMISSAS!$C$10)*I4/PREMISSAS!$C$8</f>
        <v>340728.180512821</v>
      </c>
      <c r="J5" s="34" t="n">
        <f aca="false">PREMISSAS!$C$28*(1+PREMISSAS!$C$18)/(1-PREMISSAS!$C$10)*J4/PREMISSAS!$C$8</f>
        <v>377234.771282051</v>
      </c>
      <c r="K5" s="34" t="n">
        <f aca="false">PREMISSAS!$C$28*(1+PREMISSAS!$C$18)/(1-PREMISSAS!$C$10)*K4/PREMISSAS!$C$8</f>
        <v>365065.907692308</v>
      </c>
      <c r="L5" s="34" t="n">
        <f aca="false">PREMISSAS!$C$28*(1+PREMISSAS!$C$18)/(1-PREMISSAS!$C$10)*L4/PREMISSAS!$C$8</f>
        <v>377234.771282051</v>
      </c>
      <c r="M5" s="34" t="n">
        <f aca="false">PREMISSAS!$C$28*(1+PREMISSAS!$C$18)/(1-PREMISSAS!$C$10)*M4/PREMISSAS!$C$8</f>
        <v>365065.907692308</v>
      </c>
      <c r="N5" s="34" t="n">
        <f aca="false">PREMISSAS!$C$28*(1+PREMISSAS!$C$18)/(1-PREMISSAS!$C$10)*N4/PREMISSAS!$C$8</f>
        <v>377234.771282051</v>
      </c>
      <c r="O5" s="34" t="n">
        <f aca="false">PREMISSAS!$C$28*(1+PREMISSAS!$C$18)/(1-PREMISSAS!$C$10)*O4/PREMISSAS!$C$8</f>
        <v>0</v>
      </c>
      <c r="P5" s="34" t="n">
        <f aca="false">PREMISSAS!$C$28*(1+PREMISSAS!$C$18)/(1-PREMISSAS!$C$10)*P4/PREMISSAS!$C$8</f>
        <v>0</v>
      </c>
      <c r="Q5" s="34" t="n">
        <f aca="false">PREMISSAS!$C$28*(1+PREMISSAS!$C$18)/(1-PREMISSAS!$C$10)*Q4/PREMISSAS!$C$8</f>
        <v>0</v>
      </c>
    </row>
    <row r="6" customFormat="false" ht="15" hidden="false" customHeight="false" outlineLevel="0" collapsed="false">
      <c r="B6" s="30" t="s">
        <v>310</v>
      </c>
      <c r="C6" s="34" t="n">
        <f aca="false">'FCP SEMANAL'!D25</f>
        <v>96765.6594871795</v>
      </c>
      <c r="D6" s="34" t="n">
        <f aca="false">SUM('FCP SEMANAL'!E25:I25)</f>
        <v>483828.297435897</v>
      </c>
      <c r="E6" s="34" t="n">
        <f aca="false">SUM('FCP SEMANAL'!J25:N25)</f>
        <v>483828.297435897</v>
      </c>
      <c r="F6" s="34" t="n">
        <f aca="false">PREMISSAS!$C$29*(1+PREMISSAS!$C$18)/(1-PREMISSAS!$C$10)*F4/PREMISSAS!$C$8</f>
        <v>414709.969230769</v>
      </c>
      <c r="G6" s="34" t="n">
        <f aca="false">PREMISSAS!$C$29*(1+PREMISSAS!$C$18)/(1-PREMISSAS!$C$10)*G4/PREMISSAS!$C$8</f>
        <v>428533.634871795</v>
      </c>
      <c r="H6" s="34" t="n">
        <f aca="false">PREMISSAS!$C$29*(1+PREMISSAS!$C$18)/(1-PREMISSAS!$C$10)*H4/PREMISSAS!$C$8</f>
        <v>428533.634871795</v>
      </c>
      <c r="I6" s="34" t="n">
        <f aca="false">PREMISSAS!$C$29*(1+PREMISSAS!$C$18)/(1-PREMISSAS!$C$10)*I4/PREMISSAS!$C$8</f>
        <v>387062.637948718</v>
      </c>
      <c r="J6" s="34" t="n">
        <f aca="false">PREMISSAS!$C$29*(1+PREMISSAS!$C$18)/(1-PREMISSAS!$C$10)*J4/PREMISSAS!$C$8</f>
        <v>428533.634871795</v>
      </c>
      <c r="K6" s="34" t="n">
        <f aca="false">PREMISSAS!$C$29*(1+PREMISSAS!$C$18)/(1-PREMISSAS!$C$10)*K4/PREMISSAS!$C$8</f>
        <v>414709.969230769</v>
      </c>
      <c r="L6" s="34" t="n">
        <f aca="false">PREMISSAS!$C$29*(1+PREMISSAS!$C$18)/(1-PREMISSAS!$C$10)*L4/PREMISSAS!$C$8</f>
        <v>428533.634871795</v>
      </c>
      <c r="M6" s="34" t="n">
        <f aca="false">PREMISSAS!$C$29*(1+PREMISSAS!$C$18)/(1-PREMISSAS!$C$10)*M4/PREMISSAS!$C$8</f>
        <v>414709.969230769</v>
      </c>
      <c r="N6" s="34" t="n">
        <f aca="false">PREMISSAS!$C$29*(1+PREMISSAS!$C$18)/(1-PREMISSAS!$C$10)*N4/PREMISSAS!$C$8</f>
        <v>428533.634871795</v>
      </c>
      <c r="O6" s="34" t="n">
        <f aca="false">PREMISSAS!$C$29*(1+PREMISSAS!$C$18)/(1-PREMISSAS!$C$10)*O4/PREMISSAS!$C$8</f>
        <v>0</v>
      </c>
      <c r="P6" s="34" t="n">
        <f aca="false">PREMISSAS!$C$29*(1+PREMISSAS!$C$18)/(1-PREMISSAS!$C$10)*P4/PREMISSAS!$C$8</f>
        <v>0</v>
      </c>
      <c r="Q6" s="34" t="n">
        <f aca="false">PREMISSAS!$C$29*(1+PREMISSAS!$C$18)/(1-PREMISSAS!$C$10)*Q4/PREMISSAS!$C$8</f>
        <v>0</v>
      </c>
    </row>
    <row r="7" customFormat="false" ht="15" hidden="false" customHeight="false" outlineLevel="0" collapsed="false">
      <c r="B7" s="30" t="s">
        <v>311</v>
      </c>
      <c r="C7" s="34" t="n">
        <f aca="false">C5+C6</f>
        <v>181947.704615385</v>
      </c>
      <c r="D7" s="34" t="n">
        <f aca="false">D5+D6</f>
        <v>909738.523076923</v>
      </c>
      <c r="E7" s="34" t="n">
        <f aca="false">E5+E6</f>
        <v>909738.523076923</v>
      </c>
      <c r="F7" s="34" t="n">
        <f aca="false">F5+F6</f>
        <v>779775.876923077</v>
      </c>
      <c r="G7" s="34" t="n">
        <f aca="false">G5+G6</f>
        <v>805768.406153846</v>
      </c>
      <c r="H7" s="34" t="n">
        <f aca="false">H5+H6</f>
        <v>805768.406153846</v>
      </c>
      <c r="I7" s="34" t="n">
        <f aca="false">I5+I6</f>
        <v>727790.818461538</v>
      </c>
      <c r="J7" s="34" t="n">
        <f aca="false">J5+J6</f>
        <v>805768.406153846</v>
      </c>
      <c r="K7" s="34" t="n">
        <f aca="false">K5+K6</f>
        <v>779775.876923077</v>
      </c>
      <c r="L7" s="34" t="n">
        <f aca="false">L5+L6</f>
        <v>805768.406153846</v>
      </c>
      <c r="M7" s="34" t="n">
        <f aca="false">M5+M6</f>
        <v>779775.876923077</v>
      </c>
      <c r="N7" s="34" t="n">
        <f aca="false">N5+N6</f>
        <v>805768.406153846</v>
      </c>
      <c r="O7" s="34" t="n">
        <f aca="false">O5+O6</f>
        <v>0</v>
      </c>
      <c r="P7" s="34" t="n">
        <f aca="false">P5+P6</f>
        <v>0</v>
      </c>
      <c r="Q7" s="34" t="n">
        <f aca="false">Q5+Q6</f>
        <v>0</v>
      </c>
    </row>
    <row r="8" customFormat="false" ht="15" hidden="false" customHeight="false" outlineLevel="0" collapsed="false">
      <c r="B8" s="30" t="s">
        <v>312</v>
      </c>
      <c r="C8" s="28" t="n">
        <f aca="false">EOMONTH(C3,0)+PREMISSAS!$C$9</f>
        <v>46285</v>
      </c>
      <c r="D8" s="28" t="n">
        <f aca="false">EOMONTH(D3,0)+PREMISSAS!$C$9</f>
        <v>46315</v>
      </c>
      <c r="E8" s="28" t="n">
        <f aca="false">EOMONTH(E3,0)+PREMISSAS!$C$9</f>
        <v>46346</v>
      </c>
      <c r="F8" s="28" t="n">
        <f aca="false">EOMONTH(F3,0)+PREMISSAS!$C$9</f>
        <v>46376</v>
      </c>
      <c r="G8" s="28" t="n">
        <f aca="false">EOMONTH(G3,0)+PREMISSAS!$C$9</f>
        <v>46407</v>
      </c>
      <c r="H8" s="28" t="n">
        <f aca="false">EOMONTH(H3,0)+PREMISSAS!$C$9</f>
        <v>46438</v>
      </c>
      <c r="I8" s="28" t="n">
        <f aca="false">EOMONTH(I3,0)+PREMISSAS!$C$9</f>
        <v>46466</v>
      </c>
      <c r="J8" s="28" t="n">
        <f aca="false">EOMONTH(J3,0)+PREMISSAS!$C$9</f>
        <v>46497</v>
      </c>
      <c r="K8" s="28" t="n">
        <f aca="false">EOMONTH(K3,0)+PREMISSAS!$C$9</f>
        <v>46527</v>
      </c>
      <c r="L8" s="28" t="n">
        <f aca="false">EOMONTH(L3,0)+PREMISSAS!$C$9</f>
        <v>46558</v>
      </c>
      <c r="M8" s="28" t="n">
        <f aca="false">EOMONTH(M3,0)+PREMISSAS!$C$9</f>
        <v>46588</v>
      </c>
      <c r="N8" s="28" t="n">
        <f aca="false">EOMONTH(N3,0)+PREMISSAS!$C$9</f>
        <v>46619</v>
      </c>
      <c r="O8" s="28" t="n">
        <f aca="false">EOMONTH(O3,0)+PREMISSAS!$C$9</f>
        <v>46650</v>
      </c>
      <c r="P8" s="28" t="n">
        <f aca="false">EOMONTH(P3,0)+PREMISSAS!$C$9</f>
        <v>46680</v>
      </c>
      <c r="Q8" s="28" t="n">
        <f aca="false">EOMONTH(Q3,0)+PREMISSAS!$C$9</f>
        <v>46711</v>
      </c>
    </row>
    <row r="9" customFormat="false" ht="15" hidden="false" customHeight="false" outlineLevel="0" collapsed="false">
      <c r="B9" s="43" t="s">
        <v>313</v>
      </c>
      <c r="C9" s="73" t="n">
        <f aca="false">IF(C3=DATE(YEAR(PREMISSAS!$C$6),MONTH(PREMISSAS!$C$6),1),PREMISSAS!$C$39*PREMISSAS!$C$8,C4)</f>
        <v>15</v>
      </c>
      <c r="D9" s="73" t="n">
        <f aca="false">IF(D3=DATE(YEAR(PREMISSAS!$C$6),MONTH(PREMISSAS!$C$6),1),PREMISSAS!$C$39*PREMISSAS!$C$8,D4)</f>
        <v>30</v>
      </c>
      <c r="E9" s="73" t="n">
        <f aca="false">IF(E3=DATE(YEAR(PREMISSAS!$C$6),MONTH(PREMISSAS!$C$6),1),PREMISSAS!$C$39*PREMISSAS!$C$8,E4)</f>
        <v>31</v>
      </c>
      <c r="F9" s="73" t="n">
        <f aca="false">IF(F3=DATE(YEAR(PREMISSAS!$C$6),MONTH(PREMISSAS!$C$6),1),PREMISSAS!$C$39*PREMISSAS!$C$8,F4)</f>
        <v>30</v>
      </c>
      <c r="G9" s="73" t="n">
        <f aca="false">IF(G3=DATE(YEAR(PREMISSAS!$C$6),MONTH(PREMISSAS!$C$6),1),PREMISSAS!$C$39*PREMISSAS!$C$8,G4)</f>
        <v>31</v>
      </c>
      <c r="H9" s="73" t="n">
        <f aca="false">IF(H3=DATE(YEAR(PREMISSAS!$C$6),MONTH(PREMISSAS!$C$6),1),PREMISSAS!$C$39*PREMISSAS!$C$8,H4)</f>
        <v>31</v>
      </c>
      <c r="I9" s="73" t="n">
        <f aca="false">IF(I3=DATE(YEAR(PREMISSAS!$C$6),MONTH(PREMISSAS!$C$6),1),PREMISSAS!$C$39*PREMISSAS!$C$8,I4)</f>
        <v>28</v>
      </c>
      <c r="J9" s="73" t="n">
        <f aca="false">IF(J3=DATE(YEAR(PREMISSAS!$C$6),MONTH(PREMISSAS!$C$6),1),PREMISSAS!$C$39*PREMISSAS!$C$8,J4)</f>
        <v>31</v>
      </c>
      <c r="K9" s="73" t="n">
        <f aca="false">IF(K3=DATE(YEAR(PREMISSAS!$C$6),MONTH(PREMISSAS!$C$6),1),PREMISSAS!$C$39*PREMISSAS!$C$8,K4)</f>
        <v>30</v>
      </c>
      <c r="L9" s="73" t="n">
        <f aca="false">IF(L3=DATE(YEAR(PREMISSAS!$C$6),MONTH(PREMISSAS!$C$6),1),PREMISSAS!$C$39*PREMISSAS!$C$8,L4)</f>
        <v>31</v>
      </c>
      <c r="M9" s="73" t="n">
        <f aca="false">IF(M3=DATE(YEAR(PREMISSAS!$C$6),MONTH(PREMISSAS!$C$6),1),PREMISSAS!$C$39*PREMISSAS!$C$8,M4)</f>
        <v>30</v>
      </c>
      <c r="N9" s="73" t="n">
        <f aca="false">IF(N3=DATE(YEAR(PREMISSAS!$C$6),MONTH(PREMISSAS!$C$6),1),PREMISSAS!$C$39*PREMISSAS!$C$8,N4)</f>
        <v>31</v>
      </c>
      <c r="O9" s="73" t="n">
        <f aca="false">IF(O3=DATE(YEAR(PREMISSAS!$C$6),MONTH(PREMISSAS!$C$6),1),PREMISSAS!$C$39*PREMISSAS!$C$8,O4)</f>
        <v>0</v>
      </c>
      <c r="P9" s="73" t="n">
        <f aca="false">IF(P3=DATE(YEAR(PREMISSAS!$C$6),MONTH(PREMISSAS!$C$6),1),PREMISSAS!$C$39*PREMISSAS!$C$8,P4)</f>
        <v>0</v>
      </c>
      <c r="Q9" s="73" t="n">
        <f aca="false">IF(Q3=DATE(YEAR(PREMISSAS!$C$6),MONTH(PREMISSAS!$C$6),1),PREMISSAS!$C$39*PREMISSAS!$C$8,Q4)</f>
        <v>0</v>
      </c>
    </row>
    <row r="10" customFormat="false" ht="15" hidden="false" customHeight="false" outlineLevel="0" collapsed="false">
      <c r="B10" s="74" t="s">
        <v>314</v>
      </c>
    </row>
    <row r="11" customFormat="false" ht="15" hidden="false" customHeight="false" outlineLevel="0" collapsed="false">
      <c r="B11" s="33" t="s">
        <v>315</v>
      </c>
      <c r="C11" s="34" t="n">
        <f aca="false">PREMISSAS!$C$30*(1+PREMISSAS!$C$14)/(1-PREMISSAS!$C$10)*C$4/PREMISSAS!$C$8</f>
        <v>173283.528205128</v>
      </c>
      <c r="D11" s="34" t="n">
        <f aca="false">PREMISSAS!$C$30*(1+PREMISSAS!$C$14)/(1-PREMISSAS!$C$10)*D$4/PREMISSAS!$C$8</f>
        <v>649813.230769231</v>
      </c>
      <c r="E11" s="34" t="n">
        <f aca="false">PREMISSAS!$C$30*(1+PREMISSAS!$C$14)/(1-PREMISSAS!$C$10)*E$4/PREMISSAS!$C$8</f>
        <v>671473.671794872</v>
      </c>
      <c r="F11" s="34" t="n">
        <f aca="false">PREMISSAS!$C$30*(1+PREMISSAS!$C$14)/(1-PREMISSAS!$C$10)*F$4/PREMISSAS!$C$8</f>
        <v>649813.230769231</v>
      </c>
      <c r="G11" s="34" t="n">
        <f aca="false">PREMISSAS!$C$30*(1+PREMISSAS!$C$14)/(1-PREMISSAS!$C$10)*G$4/PREMISSAS!$C$8</f>
        <v>671473.671794872</v>
      </c>
      <c r="H11" s="34" t="n">
        <f aca="false">PREMISSAS!$C$30*(1+PREMISSAS!$C$14)/(1-PREMISSAS!$C$10)*H$4/PREMISSAS!$C$8</f>
        <v>671473.671794872</v>
      </c>
      <c r="I11" s="34" t="n">
        <f aca="false">PREMISSAS!$C$30*(1+PREMISSAS!$C$14)/(1-PREMISSAS!$C$10)*I$4/PREMISSAS!$C$8</f>
        <v>606492.348717949</v>
      </c>
      <c r="J11" s="34" t="n">
        <f aca="false">PREMISSAS!$C$30*(1+PREMISSAS!$C$14)/(1-PREMISSAS!$C$10)*J$4/PREMISSAS!$C$8</f>
        <v>671473.671794872</v>
      </c>
      <c r="K11" s="34" t="n">
        <f aca="false">PREMISSAS!$C$30*(1+PREMISSAS!$C$14)/(1-PREMISSAS!$C$10)*K$4/PREMISSAS!$C$8</f>
        <v>649813.230769231</v>
      </c>
      <c r="L11" s="34" t="n">
        <f aca="false">PREMISSAS!$C$30*(1+PREMISSAS!$C$14)/(1-PREMISSAS!$C$10)*L$4/PREMISSAS!$C$8</f>
        <v>671473.671794872</v>
      </c>
      <c r="M11" s="34" t="n">
        <f aca="false">PREMISSAS!$C$30*(1+PREMISSAS!$C$14)/(1-PREMISSAS!$C$10)*M$4/PREMISSAS!$C$8</f>
        <v>649813.230769231</v>
      </c>
      <c r="N11" s="34" t="n">
        <f aca="false">PREMISSAS!$C$30*(1+PREMISSAS!$C$14)/(1-PREMISSAS!$C$10)*N$4/PREMISSAS!$C$8</f>
        <v>671473.671794872</v>
      </c>
      <c r="O11" s="34" t="n">
        <f aca="false">PREMISSAS!$C$30*(1+PREMISSAS!$C$14)/(1-PREMISSAS!$C$10)*O$4/PREMISSAS!$C$8</f>
        <v>0</v>
      </c>
      <c r="P11" s="34" t="n">
        <f aca="false">PREMISSAS!$C$30*(1+PREMISSAS!$C$14)/(1-PREMISSAS!$C$10)*P$4/PREMISSAS!$C$8</f>
        <v>0</v>
      </c>
      <c r="Q11" s="34" t="n">
        <f aca="false">PREMISSAS!$C$30*(1+PREMISSAS!$C$14)/(1-PREMISSAS!$C$10)*Q$4/PREMISSAS!$C$8</f>
        <v>0</v>
      </c>
    </row>
    <row r="12" customFormat="false" ht="15" hidden="false" customHeight="false" outlineLevel="0" collapsed="false">
      <c r="B12" s="30" t="s">
        <v>316</v>
      </c>
      <c r="C12" s="34" t="n">
        <f aca="false">SUMPRODUCT((AUX!$C$8:$Q$8&gt;=C$3)*(AUX!$C$8:$Q$8&lt;=EOMONTH(C$3,0))*$C$11:$Q$11)-0-IF(PREMISSAS!$C$48="MEDIÇÃO CHEIA",SUMPRODUCT((AUX!$C$8:$Q$8&gt;=C$3)*(AUX!$C$8:$Q$8&lt;=EOMONTH(C$3,0))*$C$11:$Q$11),MAX(0,SUMPRODUCT((AUX!$C$8:$Q$8&gt;=C$3)*(AUX!$C$8:$Q$8&lt;=EOMONTH(C$3,0))*$C$11:$Q$11)-0))*PREMISSAS!$C$10</f>
        <v>0</v>
      </c>
      <c r="D12" s="34" t="n">
        <f aca="false">SUMPRODUCT((AUX!$C$8:$Q$8&gt;=D$3)*(AUX!$C$8:$Q$8&lt;=EOMONTH(D$3,0))*$C$11:$Q$11)-(PREMISSAS!$C$61*C$9/PREMISSAS!$C$8+IF(D$3=EDATE(DATE(YEAR(PREMISSAS!$C$6),MONTH(PREMISSAS!$C$6),1),1),PREMISSAS!$C$58,0))-IF(PREMISSAS!$C$48="MEDIÇÃO CHEIA",SUMPRODUCT((AUX!$C$8:$Q$8&gt;=D$3)*(AUX!$C$8:$Q$8&lt;=EOMONTH(D$3,0))*$C$11:$Q$11),MAX(0,SUMPRODUCT((AUX!$C$8:$Q$8&gt;=D$3)*(AUX!$C$8:$Q$8&lt;=EOMONTH(D$3,0))*$C$11:$Q$11)-(PREMISSAS!$C$61*C$9/PREMISSAS!$C$8+IF(D$3=EDATE(DATE(YEAR(PREMISSAS!$C$6),MONTH(PREMISSAS!$C$6),1),1),PREMISSAS!$C$58,0))))*PREMISSAS!$C$10</f>
        <v>-124986.008</v>
      </c>
      <c r="E12" s="34" t="n">
        <f aca="false">SUMPRODUCT((AUX!$C$8:$Q$8&gt;=E$3)*(AUX!$C$8:$Q$8&lt;=EOMONTH(E$3,0))*$C$11:$Q$11)-(PREMISSAS!$C$61*D$9/PREMISSAS!$C$8+IF(E$3=EDATE(DATE(YEAR(PREMISSAS!$C$6),MONTH(PREMISSAS!$C$6),1),1),PREMISSAS!$C$58,0))-IF(PREMISSAS!$C$48="MEDIÇÃO CHEIA",SUMPRODUCT((AUX!$C$8:$Q$8&gt;=E$3)*(AUX!$C$8:$Q$8&lt;=EOMONTH(E$3,0))*$C$11:$Q$11),MAX(0,SUMPRODUCT((AUX!$C$8:$Q$8&gt;=E$3)*(AUX!$C$8:$Q$8&lt;=EOMONTH(E$3,0))*$C$11:$Q$11)-(PREMISSAS!$C$61*D$9/PREMISSAS!$C$8+IF(E$3=EDATE(DATE(YEAR(PREMISSAS!$C$6),MONTH(PREMISSAS!$C$6),1),1),PREMISSAS!$C$58,0))))*PREMISSAS!$C$10</f>
        <v>39999.9999999999</v>
      </c>
      <c r="F12" s="34" t="n">
        <f aca="false">SUMPRODUCT((AUX!$C$8:$Q$8&gt;=F$3)*(AUX!$C$8:$Q$8&lt;=EOMONTH(F$3,0))*$C$11:$Q$11)-(PREMISSAS!$C$61*E$9/PREMISSAS!$C$8+IF(F$3=EDATE(DATE(YEAR(PREMISSAS!$C$6),MONTH(PREMISSAS!$C$6),1),1),PREMISSAS!$C$58,0))-IF(PREMISSAS!$C$48="MEDIÇÃO CHEIA",SUMPRODUCT((AUX!$C$8:$Q$8&gt;=F$3)*(AUX!$C$8:$Q$8&lt;=EOMONTH(F$3,0))*$C$11:$Q$11),MAX(0,SUMPRODUCT((AUX!$C$8:$Q$8&gt;=F$3)*(AUX!$C$8:$Q$8&lt;=EOMONTH(F$3,0))*$C$11:$Q$11)-(PREMISSAS!$C$61*E$9/PREMISSAS!$C$8+IF(F$3=EDATE(DATE(YEAR(PREMISSAS!$C$6),MONTH(PREMISSAS!$C$6),1),1),PREMISSAS!$C$58,0))))*PREMISSAS!$C$10</f>
        <v>41333.3333333332</v>
      </c>
      <c r="G12" s="34" t="n">
        <f aca="false">SUMPRODUCT((AUX!$C$8:$Q$8&gt;=G$3)*(AUX!$C$8:$Q$8&lt;=EOMONTH(G$3,0))*$C$11:$Q$11)-(PREMISSAS!$C$61*F$9/PREMISSAS!$C$8+IF(G$3=EDATE(DATE(YEAR(PREMISSAS!$C$6),MONTH(PREMISSAS!$C$6),1),1),PREMISSAS!$C$58,0))-IF(PREMISSAS!$C$48="MEDIÇÃO CHEIA",SUMPRODUCT((AUX!$C$8:$Q$8&gt;=G$3)*(AUX!$C$8:$Q$8&lt;=EOMONTH(G$3,0))*$C$11:$Q$11),MAX(0,SUMPRODUCT((AUX!$C$8:$Q$8&gt;=G$3)*(AUX!$C$8:$Q$8&lt;=EOMONTH(G$3,0))*$C$11:$Q$11)-(PREMISSAS!$C$61*F$9/PREMISSAS!$C$8+IF(G$3=EDATE(DATE(YEAR(PREMISSAS!$C$6),MONTH(PREMISSAS!$C$6),1),1),PREMISSAS!$C$58,0))))*PREMISSAS!$C$10</f>
        <v>39999.9999999999</v>
      </c>
      <c r="H12" s="34" t="n">
        <f aca="false">SUMPRODUCT((AUX!$C$8:$Q$8&gt;=H$3)*(AUX!$C$8:$Q$8&lt;=EOMONTH(H$3,0))*$C$11:$Q$11)-(PREMISSAS!$C$61*G$9/PREMISSAS!$C$8+IF(H$3=EDATE(DATE(YEAR(PREMISSAS!$C$6),MONTH(PREMISSAS!$C$6),1),1),PREMISSAS!$C$58,0))-IF(PREMISSAS!$C$48="MEDIÇÃO CHEIA",SUMPRODUCT((AUX!$C$8:$Q$8&gt;=H$3)*(AUX!$C$8:$Q$8&lt;=EOMONTH(H$3,0))*$C$11:$Q$11),MAX(0,SUMPRODUCT((AUX!$C$8:$Q$8&gt;=H$3)*(AUX!$C$8:$Q$8&lt;=EOMONTH(H$3,0))*$C$11:$Q$11)-(PREMISSAS!$C$61*G$9/PREMISSAS!$C$8+IF(H$3=EDATE(DATE(YEAR(PREMISSAS!$C$6),MONTH(PREMISSAS!$C$6),1),1),PREMISSAS!$C$58,0))))*PREMISSAS!$C$10</f>
        <v>41333.3333333332</v>
      </c>
      <c r="I12" s="34" t="n">
        <f aca="false">SUMPRODUCT((AUX!$C$8:$Q$8&gt;=I$3)*(AUX!$C$8:$Q$8&lt;=EOMONTH(I$3,0))*$C$11:$Q$11)-(PREMISSAS!$C$61*H$9/PREMISSAS!$C$8+IF(I$3=EDATE(DATE(YEAR(PREMISSAS!$C$6),MONTH(PREMISSAS!$C$6),1),1),PREMISSAS!$C$58,0))-IF(PREMISSAS!$C$48="MEDIÇÃO CHEIA",SUMPRODUCT((AUX!$C$8:$Q$8&gt;=I$3)*(AUX!$C$8:$Q$8&lt;=EOMONTH(I$3,0))*$C$11:$Q$11),MAX(0,SUMPRODUCT((AUX!$C$8:$Q$8&gt;=I$3)*(AUX!$C$8:$Q$8&lt;=EOMONTH(I$3,0))*$C$11:$Q$11)-(PREMISSAS!$C$61*H$9/PREMISSAS!$C$8+IF(I$3=EDATE(DATE(YEAR(PREMISSAS!$C$6),MONTH(PREMISSAS!$C$6),1),1),PREMISSAS!$C$58,0))))*PREMISSAS!$C$10</f>
        <v>41333.3333333332</v>
      </c>
      <c r="J12" s="34" t="n">
        <f aca="false">SUMPRODUCT((AUX!$C$8:$Q$8&gt;=J$3)*(AUX!$C$8:$Q$8&lt;=EOMONTH(J$3,0))*$C$11:$Q$11)-(PREMISSAS!$C$61*I$9/PREMISSAS!$C$8+IF(J$3=EDATE(DATE(YEAR(PREMISSAS!$C$6),MONTH(PREMISSAS!$C$6),1),1),PREMISSAS!$C$58,0))-IF(PREMISSAS!$C$48="MEDIÇÃO CHEIA",SUMPRODUCT((AUX!$C$8:$Q$8&gt;=J$3)*(AUX!$C$8:$Q$8&lt;=EOMONTH(J$3,0))*$C$11:$Q$11),MAX(0,SUMPRODUCT((AUX!$C$8:$Q$8&gt;=J$3)*(AUX!$C$8:$Q$8&lt;=EOMONTH(J$3,0))*$C$11:$Q$11)-(PREMISSAS!$C$61*I$9/PREMISSAS!$C$8+IF(J$3=EDATE(DATE(YEAR(PREMISSAS!$C$6),MONTH(PREMISSAS!$C$6),1),1),PREMISSAS!$C$58,0))))*PREMISSAS!$C$10</f>
        <v>37333.3333333332</v>
      </c>
      <c r="K12" s="34" t="n">
        <f aca="false">SUMPRODUCT((AUX!$C$8:$Q$8&gt;=K$3)*(AUX!$C$8:$Q$8&lt;=EOMONTH(K$3,0))*$C$11:$Q$11)-(PREMISSAS!$C$61*J$9/PREMISSAS!$C$8+IF(K$3=EDATE(DATE(YEAR(PREMISSAS!$C$6),MONTH(PREMISSAS!$C$6),1),1),PREMISSAS!$C$58,0))-IF(PREMISSAS!$C$48="MEDIÇÃO CHEIA",SUMPRODUCT((AUX!$C$8:$Q$8&gt;=K$3)*(AUX!$C$8:$Q$8&lt;=EOMONTH(K$3,0))*$C$11:$Q$11),MAX(0,SUMPRODUCT((AUX!$C$8:$Q$8&gt;=K$3)*(AUX!$C$8:$Q$8&lt;=EOMONTH(K$3,0))*$C$11:$Q$11)-(PREMISSAS!$C$61*J$9/PREMISSAS!$C$8+IF(K$3=EDATE(DATE(YEAR(PREMISSAS!$C$6),MONTH(PREMISSAS!$C$6),1),1),PREMISSAS!$C$58,0))))*PREMISSAS!$C$10</f>
        <v>41333.3333333332</v>
      </c>
      <c r="L12" s="34" t="n">
        <f aca="false">SUMPRODUCT((AUX!$C$8:$Q$8&gt;=L$3)*(AUX!$C$8:$Q$8&lt;=EOMONTH(L$3,0))*$C$11:$Q$11)-(PREMISSAS!$C$61*K$9/PREMISSAS!$C$8+IF(L$3=EDATE(DATE(YEAR(PREMISSAS!$C$6),MONTH(PREMISSAS!$C$6),1),1),PREMISSAS!$C$58,0))-IF(PREMISSAS!$C$48="MEDIÇÃO CHEIA",SUMPRODUCT((AUX!$C$8:$Q$8&gt;=L$3)*(AUX!$C$8:$Q$8&lt;=EOMONTH(L$3,0))*$C$11:$Q$11),MAX(0,SUMPRODUCT((AUX!$C$8:$Q$8&gt;=L$3)*(AUX!$C$8:$Q$8&lt;=EOMONTH(L$3,0))*$C$11:$Q$11)-(PREMISSAS!$C$61*K$9/PREMISSAS!$C$8+IF(L$3=EDATE(DATE(YEAR(PREMISSAS!$C$6),MONTH(PREMISSAS!$C$6),1),1),PREMISSAS!$C$58,0))))*PREMISSAS!$C$10</f>
        <v>39999.9999999999</v>
      </c>
      <c r="M12" s="34" t="n">
        <f aca="false">SUMPRODUCT((AUX!$C$8:$Q$8&gt;=M$3)*(AUX!$C$8:$Q$8&lt;=EOMONTH(M$3,0))*$C$11:$Q$11)-(PREMISSAS!$C$61*L$9/PREMISSAS!$C$8+IF(M$3=EDATE(DATE(YEAR(PREMISSAS!$C$6),MONTH(PREMISSAS!$C$6),1),1),PREMISSAS!$C$58,0))-IF(PREMISSAS!$C$48="MEDIÇÃO CHEIA",SUMPRODUCT((AUX!$C$8:$Q$8&gt;=M$3)*(AUX!$C$8:$Q$8&lt;=EOMONTH(M$3,0))*$C$11:$Q$11),MAX(0,SUMPRODUCT((AUX!$C$8:$Q$8&gt;=M$3)*(AUX!$C$8:$Q$8&lt;=EOMONTH(M$3,0))*$C$11:$Q$11)-(PREMISSAS!$C$61*L$9/PREMISSAS!$C$8+IF(M$3=EDATE(DATE(YEAR(PREMISSAS!$C$6),MONTH(PREMISSAS!$C$6),1),1),PREMISSAS!$C$58,0))))*PREMISSAS!$C$10</f>
        <v>41333.3333333332</v>
      </c>
      <c r="N12" s="34" t="n">
        <f aca="false">SUMPRODUCT((AUX!$C$8:$Q$8&gt;=N$3)*(AUX!$C$8:$Q$8&lt;=EOMONTH(N$3,0))*$C$11:$Q$11)-(PREMISSAS!$C$61*M$9/PREMISSAS!$C$8+IF(N$3=EDATE(DATE(YEAR(PREMISSAS!$C$6),MONTH(PREMISSAS!$C$6),1),1),PREMISSAS!$C$58,0))-IF(PREMISSAS!$C$48="MEDIÇÃO CHEIA",SUMPRODUCT((AUX!$C$8:$Q$8&gt;=N$3)*(AUX!$C$8:$Q$8&lt;=EOMONTH(N$3,0))*$C$11:$Q$11),MAX(0,SUMPRODUCT((AUX!$C$8:$Q$8&gt;=N$3)*(AUX!$C$8:$Q$8&lt;=EOMONTH(N$3,0))*$C$11:$Q$11)-(PREMISSAS!$C$61*M$9/PREMISSAS!$C$8+IF(N$3=EDATE(DATE(YEAR(PREMISSAS!$C$6),MONTH(PREMISSAS!$C$6),1),1),PREMISSAS!$C$58,0))))*PREMISSAS!$C$10</f>
        <v>39999.9999999999</v>
      </c>
      <c r="O12" s="34" t="n">
        <f aca="false">SUMPRODUCT((AUX!$C$8:$Q$8&gt;=O$3)*(AUX!$C$8:$Q$8&lt;=EOMONTH(O$3,0))*$C$11:$Q$11)-(PREMISSAS!$C$61*N$9/PREMISSAS!$C$8+IF(O$3=EDATE(DATE(YEAR(PREMISSAS!$C$6),MONTH(PREMISSAS!$C$6),1),1),PREMISSAS!$C$58,0))-IF(PREMISSAS!$C$48="MEDIÇÃO CHEIA",SUMPRODUCT((AUX!$C$8:$Q$8&gt;=O$3)*(AUX!$C$8:$Q$8&lt;=EOMONTH(O$3,0))*$C$11:$Q$11),MAX(0,SUMPRODUCT((AUX!$C$8:$Q$8&gt;=O$3)*(AUX!$C$8:$Q$8&lt;=EOMONTH(O$3,0))*$C$11:$Q$11)-(PREMISSAS!$C$61*N$9/PREMISSAS!$C$8+IF(O$3=EDATE(DATE(YEAR(PREMISSAS!$C$6),MONTH(PREMISSAS!$C$6),1),1),PREMISSAS!$C$58,0))))*PREMISSAS!$C$10</f>
        <v>41333.3333333332</v>
      </c>
      <c r="P12" s="34" t="n">
        <f aca="false">SUMPRODUCT((AUX!$C$8:$Q$8&gt;=P$3)*(AUX!$C$8:$Q$8&lt;=EOMONTH(P$3,0))*$C$11:$Q$11)-(PREMISSAS!$C$61*O$9/PREMISSAS!$C$8+IF(P$3=EDATE(DATE(YEAR(PREMISSAS!$C$6),MONTH(PREMISSAS!$C$6),1),1),PREMISSAS!$C$58,0))-IF(PREMISSAS!$C$48="MEDIÇÃO CHEIA",SUMPRODUCT((AUX!$C$8:$Q$8&gt;=P$3)*(AUX!$C$8:$Q$8&lt;=EOMONTH(P$3,0))*$C$11:$Q$11),MAX(0,SUMPRODUCT((AUX!$C$8:$Q$8&gt;=P$3)*(AUX!$C$8:$Q$8&lt;=EOMONTH(P$3,0))*$C$11:$Q$11)-(PREMISSAS!$C$61*O$9/PREMISSAS!$C$8+IF(P$3=EDATE(DATE(YEAR(PREMISSAS!$C$6),MONTH(PREMISSAS!$C$6),1),1),PREMISSAS!$C$58,0))))*PREMISSAS!$C$10</f>
        <v>0</v>
      </c>
      <c r="Q12" s="34" t="n">
        <f aca="false">SUMPRODUCT((AUX!$C$8:$Q$8&gt;=Q$3)*(AUX!$C$8:$Q$8&lt;=EOMONTH(Q$3,0))*$C$11:$Q$11)-(PREMISSAS!$C$61*P$9/PREMISSAS!$C$8+IF(Q$3=EDATE(DATE(YEAR(PREMISSAS!$C$6),MONTH(PREMISSAS!$C$6),1),1),PREMISSAS!$C$58,0))-IF(PREMISSAS!$C$48="MEDIÇÃO CHEIA",SUMPRODUCT((AUX!$C$8:$Q$8&gt;=Q$3)*(AUX!$C$8:$Q$8&lt;=EOMONTH(Q$3,0))*$C$11:$Q$11),MAX(0,SUMPRODUCT((AUX!$C$8:$Q$8&gt;=Q$3)*(AUX!$C$8:$Q$8&lt;=EOMONTH(Q$3,0))*$C$11:$Q$11)-(PREMISSAS!$C$61*P$9/PREMISSAS!$C$8+IF(Q$3=EDATE(DATE(YEAR(PREMISSAS!$C$6),MONTH(PREMISSAS!$C$6),1),1),PREMISSAS!$C$58,0))))*PREMISSAS!$C$10</f>
        <v>0</v>
      </c>
    </row>
    <row r="13" customFormat="false" ht="15" hidden="false" customHeight="false" outlineLevel="0" collapsed="false">
      <c r="B13" s="30" t="s">
        <v>317</v>
      </c>
      <c r="C13" s="34" t="n">
        <f aca="false">IF(C$3=DATE(YEAR(PREMISSAS!$C$6),MONTH(PREMISSAS!$C$6),1),PREMISSAS!$C$57,0)</f>
        <v>0</v>
      </c>
      <c r="D13" s="34" t="n">
        <f aca="false">PREMISSAS!$C$56*C$9/PREMISSAS!$C$8</f>
        <v>20000</v>
      </c>
      <c r="E13" s="34" t="n">
        <f aca="false">PREMISSAS!$C$56*D$9/PREMISSAS!$C$8</f>
        <v>40000</v>
      </c>
      <c r="F13" s="34" t="n">
        <f aca="false">PREMISSAS!$C$56*E$9/PREMISSAS!$C$8</f>
        <v>41333.3333333333</v>
      </c>
      <c r="G13" s="34" t="n">
        <f aca="false">PREMISSAS!$C$56*F$9/PREMISSAS!$C$8</f>
        <v>40000</v>
      </c>
      <c r="H13" s="34" t="n">
        <f aca="false">PREMISSAS!$C$56*G$9/PREMISSAS!$C$8</f>
        <v>41333.3333333333</v>
      </c>
      <c r="I13" s="34" t="n">
        <f aca="false">PREMISSAS!$C$56*H$9/PREMISSAS!$C$8</f>
        <v>41333.3333333333</v>
      </c>
      <c r="J13" s="34" t="n">
        <f aca="false">PREMISSAS!$C$56*I$9/PREMISSAS!$C$8</f>
        <v>37333.3333333333</v>
      </c>
      <c r="K13" s="34" t="n">
        <f aca="false">PREMISSAS!$C$56*J$9/PREMISSAS!$C$8</f>
        <v>41333.3333333333</v>
      </c>
      <c r="L13" s="34" t="n">
        <f aca="false">PREMISSAS!$C$56*K$9/PREMISSAS!$C$8</f>
        <v>40000</v>
      </c>
      <c r="M13" s="34" t="n">
        <f aca="false">PREMISSAS!$C$56*L$9/PREMISSAS!$C$8</f>
        <v>41333.3333333333</v>
      </c>
      <c r="N13" s="34" t="n">
        <f aca="false">PREMISSAS!$C$56*M$9/PREMISSAS!$C$8</f>
        <v>40000</v>
      </c>
      <c r="O13" s="34" t="n">
        <f aca="false">PREMISSAS!$C$56*N$9/PREMISSAS!$C$8</f>
        <v>41333.3333333333</v>
      </c>
      <c r="P13" s="34" t="n">
        <f aca="false">PREMISSAS!$C$56*O$9/PREMISSAS!$C$8</f>
        <v>0</v>
      </c>
      <c r="Q13" s="34" t="n">
        <f aca="false">PREMISSAS!$C$56*P$9/PREMISSAS!$C$8</f>
        <v>0</v>
      </c>
    </row>
    <row r="14" customFormat="false" ht="15" hidden="false" customHeight="false" outlineLevel="0" collapsed="false">
      <c r="B14" s="30" t="s">
        <v>318</v>
      </c>
      <c r="C14" s="34" t="n">
        <f aca="false">-C13</f>
        <v>-0</v>
      </c>
      <c r="D14" s="34" t="n">
        <f aca="false">C15-D13</f>
        <v>-20000</v>
      </c>
      <c r="E14" s="34" t="n">
        <f aca="false">D15-E13</f>
        <v>-184986.008</v>
      </c>
      <c r="F14" s="34" t="n">
        <f aca="false">E15-F13</f>
        <v>-186319.341333333</v>
      </c>
      <c r="G14" s="34" t="n">
        <f aca="false">F15-G13</f>
        <v>-184986.008</v>
      </c>
      <c r="H14" s="34" t="n">
        <f aca="false">G15-H13</f>
        <v>-186319.341333334</v>
      </c>
      <c r="I14" s="34" t="n">
        <f aca="false">H15-I13</f>
        <v>-186319.341333334</v>
      </c>
      <c r="J14" s="34" t="n">
        <f aca="false">I15-J13</f>
        <v>-182319.341333334</v>
      </c>
      <c r="K14" s="34" t="n">
        <f aca="false">J15-K13</f>
        <v>-186319.341333334</v>
      </c>
      <c r="L14" s="34" t="n">
        <f aca="false">K15-L13</f>
        <v>-184986.008000001</v>
      </c>
      <c r="M14" s="34" t="n">
        <f aca="false">L15-M13</f>
        <v>-186319.341333334</v>
      </c>
      <c r="N14" s="34" t="n">
        <f aca="false">M15-N13</f>
        <v>-184986.008000001</v>
      </c>
      <c r="O14" s="34" t="n">
        <f aca="false">N15-O13</f>
        <v>-186319.341333334</v>
      </c>
      <c r="P14" s="34" t="n">
        <f aca="false">O15-P13</f>
        <v>-144986.008000001</v>
      </c>
      <c r="Q14" s="34" t="n">
        <f aca="false">P15-Q13</f>
        <v>-144986.008000001</v>
      </c>
      <c r="S14" s="35" t="n">
        <f aca="false">MAX(0,-MIN(C14:Q14))</f>
        <v>186319.341333334</v>
      </c>
    </row>
    <row r="15" customFormat="false" ht="15" hidden="false" customHeight="false" outlineLevel="0" collapsed="false">
      <c r="B15" s="30" t="s">
        <v>319</v>
      </c>
      <c r="C15" s="34" t="n">
        <f aca="false">C14+C12</f>
        <v>0</v>
      </c>
      <c r="D15" s="34" t="n">
        <f aca="false">D14+D12</f>
        <v>-144986.008</v>
      </c>
      <c r="E15" s="34" t="n">
        <f aca="false">E14+E12</f>
        <v>-144986.008</v>
      </c>
      <c r="F15" s="34" t="n">
        <f aca="false">F14+F12</f>
        <v>-144986.008</v>
      </c>
      <c r="G15" s="34" t="n">
        <f aca="false">G14+G12</f>
        <v>-144986.008</v>
      </c>
      <c r="H15" s="34" t="n">
        <f aca="false">H14+H12</f>
        <v>-144986.008</v>
      </c>
      <c r="I15" s="34" t="n">
        <f aca="false">I14+I12</f>
        <v>-144986.008</v>
      </c>
      <c r="J15" s="34" t="n">
        <f aca="false">J14+J12</f>
        <v>-144986.008000001</v>
      </c>
      <c r="K15" s="34" t="n">
        <f aca="false">K14+K12</f>
        <v>-144986.008000001</v>
      </c>
      <c r="L15" s="34" t="n">
        <f aca="false">L14+L12</f>
        <v>-144986.008000001</v>
      </c>
      <c r="M15" s="34" t="n">
        <f aca="false">M14+M12</f>
        <v>-144986.008000001</v>
      </c>
      <c r="N15" s="34" t="n">
        <f aca="false">N14+N12</f>
        <v>-144986.008000001</v>
      </c>
      <c r="O15" s="34" t="n">
        <f aca="false">O14+O12</f>
        <v>-144986.008000001</v>
      </c>
      <c r="P15" s="34" t="n">
        <f aca="false">P14+P12</f>
        <v>-144986.008000001</v>
      </c>
      <c r="Q15" s="34" t="n">
        <f aca="false">Q14+Q12</f>
        <v>-144986.008000001</v>
      </c>
      <c r="S15" s="35" t="n">
        <f aca="false">Q15</f>
        <v>-144986.008000001</v>
      </c>
    </row>
    <row r="17" customFormat="false" ht="15" hidden="false" customHeight="false" outlineLevel="0" collapsed="false">
      <c r="B17" s="33" t="s">
        <v>320</v>
      </c>
      <c r="C17" s="34" t="n">
        <f aca="false">PREMISSAS!$C$30*(1+PREMISSAS!$C$15)/(1-PREMISSAS!$C$10)*C$4/PREMISSAS!$C$8</f>
        <v>190611.881025641</v>
      </c>
      <c r="D17" s="34" t="n">
        <f aca="false">PREMISSAS!$C$30*(1+PREMISSAS!$C$15)/(1-PREMISSAS!$C$10)*D$4/PREMISSAS!$C$8</f>
        <v>714794.553846154</v>
      </c>
      <c r="E17" s="34" t="n">
        <f aca="false">PREMISSAS!$C$30*(1+PREMISSAS!$C$15)/(1-PREMISSAS!$C$10)*E$4/PREMISSAS!$C$8</f>
        <v>738621.038974359</v>
      </c>
      <c r="F17" s="34" t="n">
        <f aca="false">PREMISSAS!$C$30*(1+PREMISSAS!$C$15)/(1-PREMISSAS!$C$10)*F$4/PREMISSAS!$C$8</f>
        <v>714794.553846154</v>
      </c>
      <c r="G17" s="34" t="n">
        <f aca="false">PREMISSAS!$C$30*(1+PREMISSAS!$C$15)/(1-PREMISSAS!$C$10)*G$4/PREMISSAS!$C$8</f>
        <v>738621.038974359</v>
      </c>
      <c r="H17" s="34" t="n">
        <f aca="false">PREMISSAS!$C$30*(1+PREMISSAS!$C$15)/(1-PREMISSAS!$C$10)*H$4/PREMISSAS!$C$8</f>
        <v>738621.038974359</v>
      </c>
      <c r="I17" s="34" t="n">
        <f aca="false">PREMISSAS!$C$30*(1+PREMISSAS!$C$15)/(1-PREMISSAS!$C$10)*I$4/PREMISSAS!$C$8</f>
        <v>667141.583589744</v>
      </c>
      <c r="J17" s="34" t="n">
        <f aca="false">PREMISSAS!$C$30*(1+PREMISSAS!$C$15)/(1-PREMISSAS!$C$10)*J$4/PREMISSAS!$C$8</f>
        <v>738621.038974359</v>
      </c>
      <c r="K17" s="34" t="n">
        <f aca="false">PREMISSAS!$C$30*(1+PREMISSAS!$C$15)/(1-PREMISSAS!$C$10)*K$4/PREMISSAS!$C$8</f>
        <v>714794.553846154</v>
      </c>
      <c r="L17" s="34" t="n">
        <f aca="false">PREMISSAS!$C$30*(1+PREMISSAS!$C$15)/(1-PREMISSAS!$C$10)*L$4/PREMISSAS!$C$8</f>
        <v>738621.038974359</v>
      </c>
      <c r="M17" s="34" t="n">
        <f aca="false">PREMISSAS!$C$30*(1+PREMISSAS!$C$15)/(1-PREMISSAS!$C$10)*M$4/PREMISSAS!$C$8</f>
        <v>714794.553846154</v>
      </c>
      <c r="N17" s="34" t="n">
        <f aca="false">PREMISSAS!$C$30*(1+PREMISSAS!$C$15)/(1-PREMISSAS!$C$10)*N$4/PREMISSAS!$C$8</f>
        <v>738621.038974359</v>
      </c>
      <c r="O17" s="34" t="n">
        <f aca="false">PREMISSAS!$C$30*(1+PREMISSAS!$C$15)/(1-PREMISSAS!$C$10)*O$4/PREMISSAS!$C$8</f>
        <v>0</v>
      </c>
      <c r="P17" s="34" t="n">
        <f aca="false">PREMISSAS!$C$30*(1+PREMISSAS!$C$15)/(1-PREMISSAS!$C$10)*P$4/PREMISSAS!$C$8</f>
        <v>0</v>
      </c>
      <c r="Q17" s="34" t="n">
        <f aca="false">PREMISSAS!$C$30*(1+PREMISSAS!$C$15)/(1-PREMISSAS!$C$10)*Q$4/PREMISSAS!$C$8</f>
        <v>0</v>
      </c>
    </row>
    <row r="18" customFormat="false" ht="15" hidden="false" customHeight="false" outlineLevel="0" collapsed="false">
      <c r="B18" s="30" t="s">
        <v>316</v>
      </c>
      <c r="C18" s="34" t="n">
        <f aca="false">SUMPRODUCT((AUX!$C$8:$Q$8&gt;=C$3)*(AUX!$C$8:$Q$8&lt;=EOMONTH(C$3,0))*$C$17:$Q$17)-0-IF(PREMISSAS!$C$48="MEDIÇÃO CHEIA",SUMPRODUCT((AUX!$C$8:$Q$8&gt;=C$3)*(AUX!$C$8:$Q$8&lt;=EOMONTH(C$3,0))*$C$17:$Q$17),MAX(0,SUMPRODUCT((AUX!$C$8:$Q$8&gt;=C$3)*(AUX!$C$8:$Q$8&lt;=EOMONTH(C$3,0))*$C$17:$Q$17)-0))*PREMISSAS!$C$10</f>
        <v>0</v>
      </c>
      <c r="D18" s="34" t="n">
        <f aca="false">SUMPRODUCT((AUX!$C$8:$Q$8&gt;=D$3)*(AUX!$C$8:$Q$8&lt;=EOMONTH(D$3,0))*$C$17:$Q$17)-(PREMISSAS!$C$61*C$9/PREMISSAS!$C$8+IF(D$3=EDATE(DATE(YEAR(PREMISSAS!$C$6),MONTH(PREMISSAS!$C$6),1),1),PREMISSAS!$C$58,0))-IF(PREMISSAS!$C$48="MEDIÇÃO CHEIA",SUMPRODUCT((AUX!$C$8:$Q$8&gt;=D$3)*(AUX!$C$8:$Q$8&lt;=EOMONTH(D$3,0))*$C$17:$Q$17),MAX(0,SUMPRODUCT((AUX!$C$8:$Q$8&gt;=D$3)*(AUX!$C$8:$Q$8&lt;=EOMONTH(D$3,0))*$C$17:$Q$17)-(PREMISSAS!$C$61*C$9/PREMISSAS!$C$8+IF(D$3=EDATE(DATE(YEAR(PREMISSAS!$C$6),MONTH(PREMISSAS!$C$6),1),1),PREMISSAS!$C$58,0))))*PREMISSAS!$C$10</f>
        <v>-111469.8928</v>
      </c>
      <c r="E18" s="34" t="n">
        <f aca="false">SUMPRODUCT((AUX!$C$8:$Q$8&gt;=E$3)*(AUX!$C$8:$Q$8&lt;=EOMONTH(E$3,0))*$C$17:$Q$17)-(PREMISSAS!$C$61*D$9/PREMISSAS!$C$8+IF(E$3=EDATE(DATE(YEAR(PREMISSAS!$C$6),MONTH(PREMISSAS!$C$6),1),1),PREMISSAS!$C$58,0))-IF(PREMISSAS!$C$48="MEDIÇÃO CHEIA",SUMPRODUCT((AUX!$C$8:$Q$8&gt;=E$3)*(AUX!$C$8:$Q$8&lt;=EOMONTH(E$3,0))*$C$17:$Q$17),MAX(0,SUMPRODUCT((AUX!$C$8:$Q$8&gt;=E$3)*(AUX!$C$8:$Q$8&lt;=EOMONTH(E$3,0))*$C$17:$Q$17)-(PREMISSAS!$C$61*D$9/PREMISSAS!$C$8+IF(E$3=EDATE(DATE(YEAR(PREMISSAS!$C$6),MONTH(PREMISSAS!$C$6),1),1),PREMISSAS!$C$58,0))))*PREMISSAS!$C$10</f>
        <v>90685.432</v>
      </c>
      <c r="F18" s="34" t="n">
        <f aca="false">SUMPRODUCT((AUX!$C$8:$Q$8&gt;=F$3)*(AUX!$C$8:$Q$8&lt;=EOMONTH(F$3,0))*$C$17:$Q$17)-(PREMISSAS!$C$61*E$9/PREMISSAS!$C$8+IF(F$3=EDATE(DATE(YEAR(PREMISSAS!$C$6),MONTH(PREMISSAS!$C$6),1),1),PREMISSAS!$C$58,0))-IF(PREMISSAS!$C$48="MEDIÇÃO CHEIA",SUMPRODUCT((AUX!$C$8:$Q$8&gt;=F$3)*(AUX!$C$8:$Q$8&lt;=EOMONTH(F$3,0))*$C$17:$Q$17),MAX(0,SUMPRODUCT((AUX!$C$8:$Q$8&gt;=F$3)*(AUX!$C$8:$Q$8&lt;=EOMONTH(F$3,0))*$C$17:$Q$17)-(PREMISSAS!$C$61*E$9/PREMISSAS!$C$8+IF(F$3=EDATE(DATE(YEAR(PREMISSAS!$C$6),MONTH(PREMISSAS!$C$6),1),1),PREMISSAS!$C$58,0))))*PREMISSAS!$C$10</f>
        <v>93708.2797333334</v>
      </c>
      <c r="G18" s="34" t="n">
        <f aca="false">SUMPRODUCT((AUX!$C$8:$Q$8&gt;=G$3)*(AUX!$C$8:$Q$8&lt;=EOMONTH(G$3,0))*$C$17:$Q$17)-(PREMISSAS!$C$61*F$9/PREMISSAS!$C$8+IF(G$3=EDATE(DATE(YEAR(PREMISSAS!$C$6),MONTH(PREMISSAS!$C$6),1),1),PREMISSAS!$C$58,0))-IF(PREMISSAS!$C$48="MEDIÇÃO CHEIA",SUMPRODUCT((AUX!$C$8:$Q$8&gt;=G$3)*(AUX!$C$8:$Q$8&lt;=EOMONTH(G$3,0))*$C$17:$Q$17),MAX(0,SUMPRODUCT((AUX!$C$8:$Q$8&gt;=G$3)*(AUX!$C$8:$Q$8&lt;=EOMONTH(G$3,0))*$C$17:$Q$17)-(PREMISSAS!$C$61*F$9/PREMISSAS!$C$8+IF(G$3=EDATE(DATE(YEAR(PREMISSAS!$C$6),MONTH(PREMISSAS!$C$6),1),1),PREMISSAS!$C$58,0))))*PREMISSAS!$C$10</f>
        <v>90685.432</v>
      </c>
      <c r="H18" s="34" t="n">
        <f aca="false">SUMPRODUCT((AUX!$C$8:$Q$8&gt;=H$3)*(AUX!$C$8:$Q$8&lt;=EOMONTH(H$3,0))*$C$17:$Q$17)-(PREMISSAS!$C$61*G$9/PREMISSAS!$C$8+IF(H$3=EDATE(DATE(YEAR(PREMISSAS!$C$6),MONTH(PREMISSAS!$C$6),1),1),PREMISSAS!$C$58,0))-IF(PREMISSAS!$C$48="MEDIÇÃO CHEIA",SUMPRODUCT((AUX!$C$8:$Q$8&gt;=H$3)*(AUX!$C$8:$Q$8&lt;=EOMONTH(H$3,0))*$C$17:$Q$17),MAX(0,SUMPRODUCT((AUX!$C$8:$Q$8&gt;=H$3)*(AUX!$C$8:$Q$8&lt;=EOMONTH(H$3,0))*$C$17:$Q$17)-(PREMISSAS!$C$61*G$9/PREMISSAS!$C$8+IF(H$3=EDATE(DATE(YEAR(PREMISSAS!$C$6),MONTH(PREMISSAS!$C$6),1),1),PREMISSAS!$C$58,0))))*PREMISSAS!$C$10</f>
        <v>93708.2797333334</v>
      </c>
      <c r="I18" s="34" t="n">
        <f aca="false">SUMPRODUCT((AUX!$C$8:$Q$8&gt;=I$3)*(AUX!$C$8:$Q$8&lt;=EOMONTH(I$3,0))*$C$17:$Q$17)-(PREMISSAS!$C$61*H$9/PREMISSAS!$C$8+IF(I$3=EDATE(DATE(YEAR(PREMISSAS!$C$6),MONTH(PREMISSAS!$C$6),1),1),PREMISSAS!$C$58,0))-IF(PREMISSAS!$C$48="MEDIÇÃO CHEIA",SUMPRODUCT((AUX!$C$8:$Q$8&gt;=I$3)*(AUX!$C$8:$Q$8&lt;=EOMONTH(I$3,0))*$C$17:$Q$17),MAX(0,SUMPRODUCT((AUX!$C$8:$Q$8&gt;=I$3)*(AUX!$C$8:$Q$8&lt;=EOMONTH(I$3,0))*$C$17:$Q$17)-(PREMISSAS!$C$61*H$9/PREMISSAS!$C$8+IF(I$3=EDATE(DATE(YEAR(PREMISSAS!$C$6),MONTH(PREMISSAS!$C$6),1),1),PREMISSAS!$C$58,0))))*PREMISSAS!$C$10</f>
        <v>93708.2797333334</v>
      </c>
      <c r="J18" s="34" t="n">
        <f aca="false">SUMPRODUCT((AUX!$C$8:$Q$8&gt;=J$3)*(AUX!$C$8:$Q$8&lt;=EOMONTH(J$3,0))*$C$17:$Q$17)-(PREMISSAS!$C$61*I$9/PREMISSAS!$C$8+IF(J$3=EDATE(DATE(YEAR(PREMISSAS!$C$6),MONTH(PREMISSAS!$C$6),1),1),PREMISSAS!$C$58,0))-IF(PREMISSAS!$C$48="MEDIÇÃO CHEIA",SUMPRODUCT((AUX!$C$8:$Q$8&gt;=J$3)*(AUX!$C$8:$Q$8&lt;=EOMONTH(J$3,0))*$C$17:$Q$17),MAX(0,SUMPRODUCT((AUX!$C$8:$Q$8&gt;=J$3)*(AUX!$C$8:$Q$8&lt;=EOMONTH(J$3,0))*$C$17:$Q$17)-(PREMISSAS!$C$61*I$9/PREMISSAS!$C$8+IF(J$3=EDATE(DATE(YEAR(PREMISSAS!$C$6),MONTH(PREMISSAS!$C$6),1),1),PREMISSAS!$C$58,0))))*PREMISSAS!$C$10</f>
        <v>84639.7365333334</v>
      </c>
      <c r="K18" s="34" t="n">
        <f aca="false">SUMPRODUCT((AUX!$C$8:$Q$8&gt;=K$3)*(AUX!$C$8:$Q$8&lt;=EOMONTH(K$3,0))*$C$17:$Q$17)-(PREMISSAS!$C$61*J$9/PREMISSAS!$C$8+IF(K$3=EDATE(DATE(YEAR(PREMISSAS!$C$6),MONTH(PREMISSAS!$C$6),1),1),PREMISSAS!$C$58,0))-IF(PREMISSAS!$C$48="MEDIÇÃO CHEIA",SUMPRODUCT((AUX!$C$8:$Q$8&gt;=K$3)*(AUX!$C$8:$Q$8&lt;=EOMONTH(K$3,0))*$C$17:$Q$17),MAX(0,SUMPRODUCT((AUX!$C$8:$Q$8&gt;=K$3)*(AUX!$C$8:$Q$8&lt;=EOMONTH(K$3,0))*$C$17:$Q$17)-(PREMISSAS!$C$61*J$9/PREMISSAS!$C$8+IF(K$3=EDATE(DATE(YEAR(PREMISSAS!$C$6),MONTH(PREMISSAS!$C$6),1),1),PREMISSAS!$C$58,0))))*PREMISSAS!$C$10</f>
        <v>93708.2797333334</v>
      </c>
      <c r="L18" s="34" t="n">
        <f aca="false">SUMPRODUCT((AUX!$C$8:$Q$8&gt;=L$3)*(AUX!$C$8:$Q$8&lt;=EOMONTH(L$3,0))*$C$17:$Q$17)-(PREMISSAS!$C$61*K$9/PREMISSAS!$C$8+IF(L$3=EDATE(DATE(YEAR(PREMISSAS!$C$6),MONTH(PREMISSAS!$C$6),1),1),PREMISSAS!$C$58,0))-IF(PREMISSAS!$C$48="MEDIÇÃO CHEIA",SUMPRODUCT((AUX!$C$8:$Q$8&gt;=L$3)*(AUX!$C$8:$Q$8&lt;=EOMONTH(L$3,0))*$C$17:$Q$17),MAX(0,SUMPRODUCT((AUX!$C$8:$Q$8&gt;=L$3)*(AUX!$C$8:$Q$8&lt;=EOMONTH(L$3,0))*$C$17:$Q$17)-(PREMISSAS!$C$61*K$9/PREMISSAS!$C$8+IF(L$3=EDATE(DATE(YEAR(PREMISSAS!$C$6),MONTH(PREMISSAS!$C$6),1),1),PREMISSAS!$C$58,0))))*PREMISSAS!$C$10</f>
        <v>90685.432</v>
      </c>
      <c r="M18" s="34" t="n">
        <f aca="false">SUMPRODUCT((AUX!$C$8:$Q$8&gt;=M$3)*(AUX!$C$8:$Q$8&lt;=EOMONTH(M$3,0))*$C$17:$Q$17)-(PREMISSAS!$C$61*L$9/PREMISSAS!$C$8+IF(M$3=EDATE(DATE(YEAR(PREMISSAS!$C$6),MONTH(PREMISSAS!$C$6),1),1),PREMISSAS!$C$58,0))-IF(PREMISSAS!$C$48="MEDIÇÃO CHEIA",SUMPRODUCT((AUX!$C$8:$Q$8&gt;=M$3)*(AUX!$C$8:$Q$8&lt;=EOMONTH(M$3,0))*$C$17:$Q$17),MAX(0,SUMPRODUCT((AUX!$C$8:$Q$8&gt;=M$3)*(AUX!$C$8:$Q$8&lt;=EOMONTH(M$3,0))*$C$17:$Q$17)-(PREMISSAS!$C$61*L$9/PREMISSAS!$C$8+IF(M$3=EDATE(DATE(YEAR(PREMISSAS!$C$6),MONTH(PREMISSAS!$C$6),1),1),PREMISSAS!$C$58,0))))*PREMISSAS!$C$10</f>
        <v>93708.2797333334</v>
      </c>
      <c r="N18" s="34" t="n">
        <f aca="false">SUMPRODUCT((AUX!$C$8:$Q$8&gt;=N$3)*(AUX!$C$8:$Q$8&lt;=EOMONTH(N$3,0))*$C$17:$Q$17)-(PREMISSAS!$C$61*M$9/PREMISSAS!$C$8+IF(N$3=EDATE(DATE(YEAR(PREMISSAS!$C$6),MONTH(PREMISSAS!$C$6),1),1),PREMISSAS!$C$58,0))-IF(PREMISSAS!$C$48="MEDIÇÃO CHEIA",SUMPRODUCT((AUX!$C$8:$Q$8&gt;=N$3)*(AUX!$C$8:$Q$8&lt;=EOMONTH(N$3,0))*$C$17:$Q$17),MAX(0,SUMPRODUCT((AUX!$C$8:$Q$8&gt;=N$3)*(AUX!$C$8:$Q$8&lt;=EOMONTH(N$3,0))*$C$17:$Q$17)-(PREMISSAS!$C$61*M$9/PREMISSAS!$C$8+IF(N$3=EDATE(DATE(YEAR(PREMISSAS!$C$6),MONTH(PREMISSAS!$C$6),1),1),PREMISSAS!$C$58,0))))*PREMISSAS!$C$10</f>
        <v>90685.432</v>
      </c>
      <c r="O18" s="34" t="n">
        <f aca="false">SUMPRODUCT((AUX!$C$8:$Q$8&gt;=O$3)*(AUX!$C$8:$Q$8&lt;=EOMONTH(O$3,0))*$C$17:$Q$17)-(PREMISSAS!$C$61*N$9/PREMISSAS!$C$8+IF(O$3=EDATE(DATE(YEAR(PREMISSAS!$C$6),MONTH(PREMISSAS!$C$6),1),1),PREMISSAS!$C$58,0))-IF(PREMISSAS!$C$48="MEDIÇÃO CHEIA",SUMPRODUCT((AUX!$C$8:$Q$8&gt;=O$3)*(AUX!$C$8:$Q$8&lt;=EOMONTH(O$3,0))*$C$17:$Q$17),MAX(0,SUMPRODUCT((AUX!$C$8:$Q$8&gt;=O$3)*(AUX!$C$8:$Q$8&lt;=EOMONTH(O$3,0))*$C$17:$Q$17)-(PREMISSAS!$C$61*N$9/PREMISSAS!$C$8+IF(O$3=EDATE(DATE(YEAR(PREMISSAS!$C$6),MONTH(PREMISSAS!$C$6),1),1),PREMISSAS!$C$58,0))))*PREMISSAS!$C$10</f>
        <v>93708.2797333334</v>
      </c>
      <c r="P18" s="34" t="n">
        <f aca="false">SUMPRODUCT((AUX!$C$8:$Q$8&gt;=P$3)*(AUX!$C$8:$Q$8&lt;=EOMONTH(P$3,0))*$C$17:$Q$17)-(PREMISSAS!$C$61*O$9/PREMISSAS!$C$8+IF(P$3=EDATE(DATE(YEAR(PREMISSAS!$C$6),MONTH(PREMISSAS!$C$6),1),1),PREMISSAS!$C$58,0))-IF(PREMISSAS!$C$48="MEDIÇÃO CHEIA",SUMPRODUCT((AUX!$C$8:$Q$8&gt;=P$3)*(AUX!$C$8:$Q$8&lt;=EOMONTH(P$3,0))*$C$17:$Q$17),MAX(0,SUMPRODUCT((AUX!$C$8:$Q$8&gt;=P$3)*(AUX!$C$8:$Q$8&lt;=EOMONTH(P$3,0))*$C$17:$Q$17)-(PREMISSAS!$C$61*O$9/PREMISSAS!$C$8+IF(P$3=EDATE(DATE(YEAR(PREMISSAS!$C$6),MONTH(PREMISSAS!$C$6),1),1),PREMISSAS!$C$58,0))))*PREMISSAS!$C$10</f>
        <v>0</v>
      </c>
      <c r="Q18" s="34" t="n">
        <f aca="false">SUMPRODUCT((AUX!$C$8:$Q$8&gt;=Q$3)*(AUX!$C$8:$Q$8&lt;=EOMONTH(Q$3,0))*$C$17:$Q$17)-(PREMISSAS!$C$61*P$9/PREMISSAS!$C$8+IF(Q$3=EDATE(DATE(YEAR(PREMISSAS!$C$6),MONTH(PREMISSAS!$C$6),1),1),PREMISSAS!$C$58,0))-IF(PREMISSAS!$C$48="MEDIÇÃO CHEIA",SUMPRODUCT((AUX!$C$8:$Q$8&gt;=Q$3)*(AUX!$C$8:$Q$8&lt;=EOMONTH(Q$3,0))*$C$17:$Q$17),MAX(0,SUMPRODUCT((AUX!$C$8:$Q$8&gt;=Q$3)*(AUX!$C$8:$Q$8&lt;=EOMONTH(Q$3,0))*$C$17:$Q$17)-(PREMISSAS!$C$61*P$9/PREMISSAS!$C$8+IF(Q$3=EDATE(DATE(YEAR(PREMISSAS!$C$6),MONTH(PREMISSAS!$C$6),1),1),PREMISSAS!$C$58,0))))*PREMISSAS!$C$10</f>
        <v>0</v>
      </c>
    </row>
    <row r="19" customFormat="false" ht="15" hidden="false" customHeight="false" outlineLevel="0" collapsed="false">
      <c r="B19" s="30" t="s">
        <v>317</v>
      </c>
      <c r="C19" s="34" t="n">
        <f aca="false">IF(C$3=DATE(YEAR(PREMISSAS!$C$6),MONTH(PREMISSAS!$C$6),1),PREMISSAS!$C$57,0)</f>
        <v>0</v>
      </c>
      <c r="D19" s="34" t="n">
        <f aca="false">PREMISSAS!$C$56*C$9/PREMISSAS!$C$8</f>
        <v>20000</v>
      </c>
      <c r="E19" s="34" t="n">
        <f aca="false">PREMISSAS!$C$56*D$9/PREMISSAS!$C$8</f>
        <v>40000</v>
      </c>
      <c r="F19" s="34" t="n">
        <f aca="false">PREMISSAS!$C$56*E$9/PREMISSAS!$C$8</f>
        <v>41333.3333333333</v>
      </c>
      <c r="G19" s="34" t="n">
        <f aca="false">PREMISSAS!$C$56*F$9/PREMISSAS!$C$8</f>
        <v>40000</v>
      </c>
      <c r="H19" s="34" t="n">
        <f aca="false">PREMISSAS!$C$56*G$9/PREMISSAS!$C$8</f>
        <v>41333.3333333333</v>
      </c>
      <c r="I19" s="34" t="n">
        <f aca="false">PREMISSAS!$C$56*H$9/PREMISSAS!$C$8</f>
        <v>41333.3333333333</v>
      </c>
      <c r="J19" s="34" t="n">
        <f aca="false">PREMISSAS!$C$56*I$9/PREMISSAS!$C$8</f>
        <v>37333.3333333333</v>
      </c>
      <c r="K19" s="34" t="n">
        <f aca="false">PREMISSAS!$C$56*J$9/PREMISSAS!$C$8</f>
        <v>41333.3333333333</v>
      </c>
      <c r="L19" s="34" t="n">
        <f aca="false">PREMISSAS!$C$56*K$9/PREMISSAS!$C$8</f>
        <v>40000</v>
      </c>
      <c r="M19" s="34" t="n">
        <f aca="false">PREMISSAS!$C$56*L$9/PREMISSAS!$C$8</f>
        <v>41333.3333333333</v>
      </c>
      <c r="N19" s="34" t="n">
        <f aca="false">PREMISSAS!$C$56*M$9/PREMISSAS!$C$8</f>
        <v>40000</v>
      </c>
      <c r="O19" s="34" t="n">
        <f aca="false">PREMISSAS!$C$56*N$9/PREMISSAS!$C$8</f>
        <v>41333.3333333333</v>
      </c>
      <c r="P19" s="34" t="n">
        <f aca="false">PREMISSAS!$C$56*O$9/PREMISSAS!$C$8</f>
        <v>0</v>
      </c>
      <c r="Q19" s="34" t="n">
        <f aca="false">PREMISSAS!$C$56*P$9/PREMISSAS!$C$8</f>
        <v>0</v>
      </c>
    </row>
    <row r="20" customFormat="false" ht="15" hidden="false" customHeight="false" outlineLevel="0" collapsed="false">
      <c r="B20" s="30" t="s">
        <v>318</v>
      </c>
      <c r="C20" s="34" t="n">
        <f aca="false">-C19</f>
        <v>-0</v>
      </c>
      <c r="D20" s="34" t="n">
        <f aca="false">C21-D19</f>
        <v>-20000</v>
      </c>
      <c r="E20" s="34" t="n">
        <f aca="false">D21-E19</f>
        <v>-171469.8928</v>
      </c>
      <c r="F20" s="34" t="n">
        <f aca="false">E21-F19</f>
        <v>-122117.794133333</v>
      </c>
      <c r="G20" s="34" t="n">
        <f aca="false">F21-G19</f>
        <v>-68409.5144</v>
      </c>
      <c r="H20" s="34" t="n">
        <f aca="false">G21-H19</f>
        <v>-19057.4157333333</v>
      </c>
      <c r="I20" s="34" t="n">
        <f aca="false">H21-I19</f>
        <v>33317.5306666667</v>
      </c>
      <c r="J20" s="34" t="n">
        <f aca="false">I21-J19</f>
        <v>89692.4770666667</v>
      </c>
      <c r="K20" s="34" t="n">
        <f aca="false">J21-K19</f>
        <v>132998.880266667</v>
      </c>
      <c r="L20" s="34" t="n">
        <f aca="false">K21-L19</f>
        <v>186707.16</v>
      </c>
      <c r="M20" s="34" t="n">
        <f aca="false">L21-M19</f>
        <v>236059.258666667</v>
      </c>
      <c r="N20" s="34" t="n">
        <f aca="false">M21-N19</f>
        <v>289767.5384</v>
      </c>
      <c r="O20" s="34" t="n">
        <f aca="false">N21-O19</f>
        <v>339119.637066667</v>
      </c>
      <c r="P20" s="34" t="n">
        <f aca="false">O21-P19</f>
        <v>432827.9168</v>
      </c>
      <c r="Q20" s="34" t="n">
        <f aca="false">P21-Q19</f>
        <v>432827.9168</v>
      </c>
      <c r="S20" s="35" t="n">
        <f aca="false">MAX(0,-MIN(C20:Q20))</f>
        <v>171469.8928</v>
      </c>
    </row>
    <row r="21" customFormat="false" ht="15" hidden="false" customHeight="false" outlineLevel="0" collapsed="false">
      <c r="B21" s="30" t="s">
        <v>319</v>
      </c>
      <c r="C21" s="34" t="n">
        <f aca="false">C20+C18</f>
        <v>0</v>
      </c>
      <c r="D21" s="34" t="n">
        <f aca="false">D20+D18</f>
        <v>-131469.8928</v>
      </c>
      <c r="E21" s="34" t="n">
        <f aca="false">E20+E18</f>
        <v>-80784.4608</v>
      </c>
      <c r="F21" s="34" t="n">
        <f aca="false">F20+F18</f>
        <v>-28409.5144</v>
      </c>
      <c r="G21" s="34" t="n">
        <f aca="false">G20+G18</f>
        <v>22275.9176</v>
      </c>
      <c r="H21" s="34" t="n">
        <f aca="false">H20+H18</f>
        <v>74650.8640000001</v>
      </c>
      <c r="I21" s="34" t="n">
        <f aca="false">I20+I18</f>
        <v>127025.8104</v>
      </c>
      <c r="J21" s="34" t="n">
        <f aca="false">J20+J18</f>
        <v>174332.2136</v>
      </c>
      <c r="K21" s="34" t="n">
        <f aca="false">K20+K18</f>
        <v>226707.16</v>
      </c>
      <c r="L21" s="34" t="n">
        <f aca="false">L20+L18</f>
        <v>277392.592</v>
      </c>
      <c r="M21" s="34" t="n">
        <f aca="false">M20+M18</f>
        <v>329767.5384</v>
      </c>
      <c r="N21" s="34" t="n">
        <f aca="false">N20+N18</f>
        <v>380452.9704</v>
      </c>
      <c r="O21" s="34" t="n">
        <f aca="false">O20+O18</f>
        <v>432827.9168</v>
      </c>
      <c r="P21" s="34" t="n">
        <f aca="false">P20+P18</f>
        <v>432827.9168</v>
      </c>
      <c r="Q21" s="34" t="n">
        <f aca="false">Q20+Q18</f>
        <v>432827.9168</v>
      </c>
      <c r="S21" s="35" t="n">
        <f aca="false">Q21</f>
        <v>432827.9168</v>
      </c>
    </row>
    <row r="23" customFormat="false" ht="15" hidden="false" customHeight="false" outlineLevel="0" collapsed="false">
      <c r="B23" s="33" t="s">
        <v>321</v>
      </c>
      <c r="C23" s="34" t="n">
        <f aca="false">PREMISSAS!$C$30*(1+PREMISSAS!$C$16)/(1-PREMISSAS!$C$10)*C$4/PREMISSAS!$C$8</f>
        <v>199276.057435897</v>
      </c>
      <c r="D23" s="34" t="n">
        <f aca="false">PREMISSAS!$C$30*(1+PREMISSAS!$C$16)/(1-PREMISSAS!$C$10)*D$4/PREMISSAS!$C$8</f>
        <v>747285.215384615</v>
      </c>
      <c r="E23" s="34" t="n">
        <f aca="false">PREMISSAS!$C$30*(1+PREMISSAS!$C$16)/(1-PREMISSAS!$C$10)*E$4/PREMISSAS!$C$8</f>
        <v>772194.722564103</v>
      </c>
      <c r="F23" s="34" t="n">
        <f aca="false">PREMISSAS!$C$30*(1+PREMISSAS!$C$16)/(1-PREMISSAS!$C$10)*F$4/PREMISSAS!$C$8</f>
        <v>747285.215384615</v>
      </c>
      <c r="G23" s="34" t="n">
        <f aca="false">PREMISSAS!$C$30*(1+PREMISSAS!$C$16)/(1-PREMISSAS!$C$10)*G$4/PREMISSAS!$C$8</f>
        <v>772194.722564103</v>
      </c>
      <c r="H23" s="34" t="n">
        <f aca="false">PREMISSAS!$C$30*(1+PREMISSAS!$C$16)/(1-PREMISSAS!$C$10)*H$4/PREMISSAS!$C$8</f>
        <v>772194.722564103</v>
      </c>
      <c r="I23" s="34" t="n">
        <f aca="false">PREMISSAS!$C$30*(1+PREMISSAS!$C$16)/(1-PREMISSAS!$C$10)*I$4/PREMISSAS!$C$8</f>
        <v>697466.201025641</v>
      </c>
      <c r="J23" s="34" t="n">
        <f aca="false">PREMISSAS!$C$30*(1+PREMISSAS!$C$16)/(1-PREMISSAS!$C$10)*J$4/PREMISSAS!$C$8</f>
        <v>772194.722564103</v>
      </c>
      <c r="K23" s="34" t="n">
        <f aca="false">PREMISSAS!$C$30*(1+PREMISSAS!$C$16)/(1-PREMISSAS!$C$10)*K$4/PREMISSAS!$C$8</f>
        <v>747285.215384615</v>
      </c>
      <c r="L23" s="34" t="n">
        <f aca="false">PREMISSAS!$C$30*(1+PREMISSAS!$C$16)/(1-PREMISSAS!$C$10)*L$4/PREMISSAS!$C$8</f>
        <v>772194.722564103</v>
      </c>
      <c r="M23" s="34" t="n">
        <f aca="false">PREMISSAS!$C$30*(1+PREMISSAS!$C$16)/(1-PREMISSAS!$C$10)*M$4/PREMISSAS!$C$8</f>
        <v>747285.215384615</v>
      </c>
      <c r="N23" s="34" t="n">
        <f aca="false">PREMISSAS!$C$30*(1+PREMISSAS!$C$16)/(1-PREMISSAS!$C$10)*N$4/PREMISSAS!$C$8</f>
        <v>772194.722564103</v>
      </c>
      <c r="O23" s="34" t="n">
        <f aca="false">PREMISSAS!$C$30*(1+PREMISSAS!$C$16)/(1-PREMISSAS!$C$10)*O$4/PREMISSAS!$C$8</f>
        <v>0</v>
      </c>
      <c r="P23" s="34" t="n">
        <f aca="false">PREMISSAS!$C$30*(1+PREMISSAS!$C$16)/(1-PREMISSAS!$C$10)*P$4/PREMISSAS!$C$8</f>
        <v>0</v>
      </c>
      <c r="Q23" s="34" t="n">
        <f aca="false">PREMISSAS!$C$30*(1+PREMISSAS!$C$16)/(1-PREMISSAS!$C$10)*Q$4/PREMISSAS!$C$8</f>
        <v>0</v>
      </c>
    </row>
    <row r="24" customFormat="false" ht="15" hidden="false" customHeight="false" outlineLevel="0" collapsed="false">
      <c r="B24" s="30" t="s">
        <v>316</v>
      </c>
      <c r="C24" s="34" t="n">
        <f aca="false">SUMPRODUCT((AUX!$C$8:$Q$8&gt;=C$3)*(AUX!$C$8:$Q$8&lt;=EOMONTH(C$3,0))*$C$23:$Q$23)-0-IF(PREMISSAS!$C$48="MEDIÇÃO CHEIA",SUMPRODUCT((AUX!$C$8:$Q$8&gt;=C$3)*(AUX!$C$8:$Q$8&lt;=EOMONTH(C$3,0))*$C$23:$Q$23),MAX(0,SUMPRODUCT((AUX!$C$8:$Q$8&gt;=C$3)*(AUX!$C$8:$Q$8&lt;=EOMONTH(C$3,0))*$C$23:$Q$23)-0))*PREMISSAS!$C$10</f>
        <v>0</v>
      </c>
      <c r="D24" s="34" t="n">
        <f aca="false">SUMPRODUCT((AUX!$C$8:$Q$8&gt;=D$3)*(AUX!$C$8:$Q$8&lt;=EOMONTH(D$3,0))*$C$23:$Q$23)-(PREMISSAS!$C$61*C$9/PREMISSAS!$C$8+IF(D$3=EDATE(DATE(YEAR(PREMISSAS!$C$6),MONTH(PREMISSAS!$C$6),1),1),PREMISSAS!$C$58,0))-IF(PREMISSAS!$C$48="MEDIÇÃO CHEIA",SUMPRODUCT((AUX!$C$8:$Q$8&gt;=D$3)*(AUX!$C$8:$Q$8&lt;=EOMONTH(D$3,0))*$C$23:$Q$23),MAX(0,SUMPRODUCT((AUX!$C$8:$Q$8&gt;=D$3)*(AUX!$C$8:$Q$8&lt;=EOMONTH(D$3,0))*$C$23:$Q$23)-(PREMISSAS!$C$61*C$9/PREMISSAS!$C$8+IF(D$3=EDATE(DATE(YEAR(PREMISSAS!$C$6),MONTH(PREMISSAS!$C$6),1),1),PREMISSAS!$C$58,0))))*PREMISSAS!$C$10</f>
        <v>-104711.8352</v>
      </c>
      <c r="E24" s="34" t="n">
        <f aca="false">SUMPRODUCT((AUX!$C$8:$Q$8&gt;=E$3)*(AUX!$C$8:$Q$8&lt;=EOMONTH(E$3,0))*$C$23:$Q$23)-(PREMISSAS!$C$61*D$9/PREMISSAS!$C$8+IF(E$3=EDATE(DATE(YEAR(PREMISSAS!$C$6),MONTH(PREMISSAS!$C$6),1),1),PREMISSAS!$C$58,0))-IF(PREMISSAS!$C$48="MEDIÇÃO CHEIA",SUMPRODUCT((AUX!$C$8:$Q$8&gt;=E$3)*(AUX!$C$8:$Q$8&lt;=EOMONTH(E$3,0))*$C$23:$Q$23),MAX(0,SUMPRODUCT((AUX!$C$8:$Q$8&gt;=E$3)*(AUX!$C$8:$Q$8&lt;=EOMONTH(E$3,0))*$C$23:$Q$23)-(PREMISSAS!$C$61*D$9/PREMISSAS!$C$8+IF(E$3=EDATE(DATE(YEAR(PREMISSAS!$C$6),MONTH(PREMISSAS!$C$6),1),1),PREMISSAS!$C$58,0))))*PREMISSAS!$C$10</f>
        <v>116028.148</v>
      </c>
      <c r="F24" s="34" t="n">
        <f aca="false">SUMPRODUCT((AUX!$C$8:$Q$8&gt;=F$3)*(AUX!$C$8:$Q$8&lt;=EOMONTH(F$3,0))*$C$23:$Q$23)-(PREMISSAS!$C$61*E$9/PREMISSAS!$C$8+IF(F$3=EDATE(DATE(YEAR(PREMISSAS!$C$6),MONTH(PREMISSAS!$C$6),1),1),PREMISSAS!$C$58,0))-IF(PREMISSAS!$C$48="MEDIÇÃO CHEIA",SUMPRODUCT((AUX!$C$8:$Q$8&gt;=F$3)*(AUX!$C$8:$Q$8&lt;=EOMONTH(F$3,0))*$C$23:$Q$23),MAX(0,SUMPRODUCT((AUX!$C$8:$Q$8&gt;=F$3)*(AUX!$C$8:$Q$8&lt;=EOMONTH(F$3,0))*$C$23:$Q$23)-(PREMISSAS!$C$61*E$9/PREMISSAS!$C$8+IF(F$3=EDATE(DATE(YEAR(PREMISSAS!$C$6),MONTH(PREMISSAS!$C$6),1),1),PREMISSAS!$C$58,0))))*PREMISSAS!$C$10</f>
        <v>119895.752933333</v>
      </c>
      <c r="G24" s="34" t="n">
        <f aca="false">SUMPRODUCT((AUX!$C$8:$Q$8&gt;=G$3)*(AUX!$C$8:$Q$8&lt;=EOMONTH(G$3,0))*$C$23:$Q$23)-(PREMISSAS!$C$61*F$9/PREMISSAS!$C$8+IF(G$3=EDATE(DATE(YEAR(PREMISSAS!$C$6),MONTH(PREMISSAS!$C$6),1),1),PREMISSAS!$C$58,0))-IF(PREMISSAS!$C$48="MEDIÇÃO CHEIA",SUMPRODUCT((AUX!$C$8:$Q$8&gt;=G$3)*(AUX!$C$8:$Q$8&lt;=EOMONTH(G$3,0))*$C$23:$Q$23),MAX(0,SUMPRODUCT((AUX!$C$8:$Q$8&gt;=G$3)*(AUX!$C$8:$Q$8&lt;=EOMONTH(G$3,0))*$C$23:$Q$23)-(PREMISSAS!$C$61*F$9/PREMISSAS!$C$8+IF(G$3=EDATE(DATE(YEAR(PREMISSAS!$C$6),MONTH(PREMISSAS!$C$6),1),1),PREMISSAS!$C$58,0))))*PREMISSAS!$C$10</f>
        <v>116028.148</v>
      </c>
      <c r="H24" s="34" t="n">
        <f aca="false">SUMPRODUCT((AUX!$C$8:$Q$8&gt;=H$3)*(AUX!$C$8:$Q$8&lt;=EOMONTH(H$3,0))*$C$23:$Q$23)-(PREMISSAS!$C$61*G$9/PREMISSAS!$C$8+IF(H$3=EDATE(DATE(YEAR(PREMISSAS!$C$6),MONTH(PREMISSAS!$C$6),1),1),PREMISSAS!$C$58,0))-IF(PREMISSAS!$C$48="MEDIÇÃO CHEIA",SUMPRODUCT((AUX!$C$8:$Q$8&gt;=H$3)*(AUX!$C$8:$Q$8&lt;=EOMONTH(H$3,0))*$C$23:$Q$23),MAX(0,SUMPRODUCT((AUX!$C$8:$Q$8&gt;=H$3)*(AUX!$C$8:$Q$8&lt;=EOMONTH(H$3,0))*$C$23:$Q$23)-(PREMISSAS!$C$61*G$9/PREMISSAS!$C$8+IF(H$3=EDATE(DATE(YEAR(PREMISSAS!$C$6),MONTH(PREMISSAS!$C$6),1),1),PREMISSAS!$C$58,0))))*PREMISSAS!$C$10</f>
        <v>119895.752933333</v>
      </c>
      <c r="I24" s="34" t="n">
        <f aca="false">SUMPRODUCT((AUX!$C$8:$Q$8&gt;=I$3)*(AUX!$C$8:$Q$8&lt;=EOMONTH(I$3,0))*$C$23:$Q$23)-(PREMISSAS!$C$61*H$9/PREMISSAS!$C$8+IF(I$3=EDATE(DATE(YEAR(PREMISSAS!$C$6),MONTH(PREMISSAS!$C$6),1),1),PREMISSAS!$C$58,0))-IF(PREMISSAS!$C$48="MEDIÇÃO CHEIA",SUMPRODUCT((AUX!$C$8:$Q$8&gt;=I$3)*(AUX!$C$8:$Q$8&lt;=EOMONTH(I$3,0))*$C$23:$Q$23),MAX(0,SUMPRODUCT((AUX!$C$8:$Q$8&gt;=I$3)*(AUX!$C$8:$Q$8&lt;=EOMONTH(I$3,0))*$C$23:$Q$23)-(PREMISSAS!$C$61*H$9/PREMISSAS!$C$8+IF(I$3=EDATE(DATE(YEAR(PREMISSAS!$C$6),MONTH(PREMISSAS!$C$6),1),1),PREMISSAS!$C$58,0))))*PREMISSAS!$C$10</f>
        <v>119895.752933333</v>
      </c>
      <c r="J24" s="34" t="n">
        <f aca="false">SUMPRODUCT((AUX!$C$8:$Q$8&gt;=J$3)*(AUX!$C$8:$Q$8&lt;=EOMONTH(J$3,0))*$C$23:$Q$23)-(PREMISSAS!$C$61*I$9/PREMISSAS!$C$8+IF(J$3=EDATE(DATE(YEAR(PREMISSAS!$C$6),MONTH(PREMISSAS!$C$6),1),1),PREMISSAS!$C$58,0))-IF(PREMISSAS!$C$48="MEDIÇÃO CHEIA",SUMPRODUCT((AUX!$C$8:$Q$8&gt;=J$3)*(AUX!$C$8:$Q$8&lt;=EOMONTH(J$3,0))*$C$23:$Q$23),MAX(0,SUMPRODUCT((AUX!$C$8:$Q$8&gt;=J$3)*(AUX!$C$8:$Q$8&lt;=EOMONTH(J$3,0))*$C$23:$Q$23)-(PREMISSAS!$C$61*I$9/PREMISSAS!$C$8+IF(J$3=EDATE(DATE(YEAR(PREMISSAS!$C$6),MONTH(PREMISSAS!$C$6),1),1),PREMISSAS!$C$58,0))))*PREMISSAS!$C$10</f>
        <v>108292.938133333</v>
      </c>
      <c r="K24" s="34" t="n">
        <f aca="false">SUMPRODUCT((AUX!$C$8:$Q$8&gt;=K$3)*(AUX!$C$8:$Q$8&lt;=EOMONTH(K$3,0))*$C$23:$Q$23)-(PREMISSAS!$C$61*J$9/PREMISSAS!$C$8+IF(K$3=EDATE(DATE(YEAR(PREMISSAS!$C$6),MONTH(PREMISSAS!$C$6),1),1),PREMISSAS!$C$58,0))-IF(PREMISSAS!$C$48="MEDIÇÃO CHEIA",SUMPRODUCT((AUX!$C$8:$Q$8&gt;=K$3)*(AUX!$C$8:$Q$8&lt;=EOMONTH(K$3,0))*$C$23:$Q$23),MAX(0,SUMPRODUCT((AUX!$C$8:$Q$8&gt;=K$3)*(AUX!$C$8:$Q$8&lt;=EOMONTH(K$3,0))*$C$23:$Q$23)-(PREMISSAS!$C$61*J$9/PREMISSAS!$C$8+IF(K$3=EDATE(DATE(YEAR(PREMISSAS!$C$6),MONTH(PREMISSAS!$C$6),1),1),PREMISSAS!$C$58,0))))*PREMISSAS!$C$10</f>
        <v>119895.752933333</v>
      </c>
      <c r="L24" s="34" t="n">
        <f aca="false">SUMPRODUCT((AUX!$C$8:$Q$8&gt;=L$3)*(AUX!$C$8:$Q$8&lt;=EOMONTH(L$3,0))*$C$23:$Q$23)-(PREMISSAS!$C$61*K$9/PREMISSAS!$C$8+IF(L$3=EDATE(DATE(YEAR(PREMISSAS!$C$6),MONTH(PREMISSAS!$C$6),1),1),PREMISSAS!$C$58,0))-IF(PREMISSAS!$C$48="MEDIÇÃO CHEIA",SUMPRODUCT((AUX!$C$8:$Q$8&gt;=L$3)*(AUX!$C$8:$Q$8&lt;=EOMONTH(L$3,0))*$C$23:$Q$23),MAX(0,SUMPRODUCT((AUX!$C$8:$Q$8&gt;=L$3)*(AUX!$C$8:$Q$8&lt;=EOMONTH(L$3,0))*$C$23:$Q$23)-(PREMISSAS!$C$61*K$9/PREMISSAS!$C$8+IF(L$3=EDATE(DATE(YEAR(PREMISSAS!$C$6),MONTH(PREMISSAS!$C$6),1),1),PREMISSAS!$C$58,0))))*PREMISSAS!$C$10</f>
        <v>116028.148</v>
      </c>
      <c r="M24" s="34" t="n">
        <f aca="false">SUMPRODUCT((AUX!$C$8:$Q$8&gt;=M$3)*(AUX!$C$8:$Q$8&lt;=EOMONTH(M$3,0))*$C$23:$Q$23)-(PREMISSAS!$C$61*L$9/PREMISSAS!$C$8+IF(M$3=EDATE(DATE(YEAR(PREMISSAS!$C$6),MONTH(PREMISSAS!$C$6),1),1),PREMISSAS!$C$58,0))-IF(PREMISSAS!$C$48="MEDIÇÃO CHEIA",SUMPRODUCT((AUX!$C$8:$Q$8&gt;=M$3)*(AUX!$C$8:$Q$8&lt;=EOMONTH(M$3,0))*$C$23:$Q$23),MAX(0,SUMPRODUCT((AUX!$C$8:$Q$8&gt;=M$3)*(AUX!$C$8:$Q$8&lt;=EOMONTH(M$3,0))*$C$23:$Q$23)-(PREMISSAS!$C$61*L$9/PREMISSAS!$C$8+IF(M$3=EDATE(DATE(YEAR(PREMISSAS!$C$6),MONTH(PREMISSAS!$C$6),1),1),PREMISSAS!$C$58,0))))*PREMISSAS!$C$10</f>
        <v>119895.752933333</v>
      </c>
      <c r="N24" s="34" t="n">
        <f aca="false">SUMPRODUCT((AUX!$C$8:$Q$8&gt;=N$3)*(AUX!$C$8:$Q$8&lt;=EOMONTH(N$3,0))*$C$23:$Q$23)-(PREMISSAS!$C$61*M$9/PREMISSAS!$C$8+IF(N$3=EDATE(DATE(YEAR(PREMISSAS!$C$6),MONTH(PREMISSAS!$C$6),1),1),PREMISSAS!$C$58,0))-IF(PREMISSAS!$C$48="MEDIÇÃO CHEIA",SUMPRODUCT((AUX!$C$8:$Q$8&gt;=N$3)*(AUX!$C$8:$Q$8&lt;=EOMONTH(N$3,0))*$C$23:$Q$23),MAX(0,SUMPRODUCT((AUX!$C$8:$Q$8&gt;=N$3)*(AUX!$C$8:$Q$8&lt;=EOMONTH(N$3,0))*$C$23:$Q$23)-(PREMISSAS!$C$61*M$9/PREMISSAS!$C$8+IF(N$3=EDATE(DATE(YEAR(PREMISSAS!$C$6),MONTH(PREMISSAS!$C$6),1),1),PREMISSAS!$C$58,0))))*PREMISSAS!$C$10</f>
        <v>116028.148</v>
      </c>
      <c r="O24" s="34" t="n">
        <f aca="false">SUMPRODUCT((AUX!$C$8:$Q$8&gt;=O$3)*(AUX!$C$8:$Q$8&lt;=EOMONTH(O$3,0))*$C$23:$Q$23)-(PREMISSAS!$C$61*N$9/PREMISSAS!$C$8+IF(O$3=EDATE(DATE(YEAR(PREMISSAS!$C$6),MONTH(PREMISSAS!$C$6),1),1),PREMISSAS!$C$58,0))-IF(PREMISSAS!$C$48="MEDIÇÃO CHEIA",SUMPRODUCT((AUX!$C$8:$Q$8&gt;=O$3)*(AUX!$C$8:$Q$8&lt;=EOMONTH(O$3,0))*$C$23:$Q$23),MAX(0,SUMPRODUCT((AUX!$C$8:$Q$8&gt;=O$3)*(AUX!$C$8:$Q$8&lt;=EOMONTH(O$3,0))*$C$23:$Q$23)-(PREMISSAS!$C$61*N$9/PREMISSAS!$C$8+IF(O$3=EDATE(DATE(YEAR(PREMISSAS!$C$6),MONTH(PREMISSAS!$C$6),1),1),PREMISSAS!$C$58,0))))*PREMISSAS!$C$10</f>
        <v>119895.752933333</v>
      </c>
      <c r="P24" s="34" t="n">
        <f aca="false">SUMPRODUCT((AUX!$C$8:$Q$8&gt;=P$3)*(AUX!$C$8:$Q$8&lt;=EOMONTH(P$3,0))*$C$23:$Q$23)-(PREMISSAS!$C$61*O$9/PREMISSAS!$C$8+IF(P$3=EDATE(DATE(YEAR(PREMISSAS!$C$6),MONTH(PREMISSAS!$C$6),1),1),PREMISSAS!$C$58,0))-IF(PREMISSAS!$C$48="MEDIÇÃO CHEIA",SUMPRODUCT((AUX!$C$8:$Q$8&gt;=P$3)*(AUX!$C$8:$Q$8&lt;=EOMONTH(P$3,0))*$C$23:$Q$23),MAX(0,SUMPRODUCT((AUX!$C$8:$Q$8&gt;=P$3)*(AUX!$C$8:$Q$8&lt;=EOMONTH(P$3,0))*$C$23:$Q$23)-(PREMISSAS!$C$61*O$9/PREMISSAS!$C$8+IF(P$3=EDATE(DATE(YEAR(PREMISSAS!$C$6),MONTH(PREMISSAS!$C$6),1),1),PREMISSAS!$C$58,0))))*PREMISSAS!$C$10</f>
        <v>0</v>
      </c>
      <c r="Q24" s="34" t="n">
        <f aca="false">SUMPRODUCT((AUX!$C$8:$Q$8&gt;=Q$3)*(AUX!$C$8:$Q$8&lt;=EOMONTH(Q$3,0))*$C$23:$Q$23)-(PREMISSAS!$C$61*P$9/PREMISSAS!$C$8+IF(Q$3=EDATE(DATE(YEAR(PREMISSAS!$C$6),MONTH(PREMISSAS!$C$6),1),1),PREMISSAS!$C$58,0))-IF(PREMISSAS!$C$48="MEDIÇÃO CHEIA",SUMPRODUCT((AUX!$C$8:$Q$8&gt;=Q$3)*(AUX!$C$8:$Q$8&lt;=EOMONTH(Q$3,0))*$C$23:$Q$23),MAX(0,SUMPRODUCT((AUX!$C$8:$Q$8&gt;=Q$3)*(AUX!$C$8:$Q$8&lt;=EOMONTH(Q$3,0))*$C$23:$Q$23)-(PREMISSAS!$C$61*P$9/PREMISSAS!$C$8+IF(Q$3=EDATE(DATE(YEAR(PREMISSAS!$C$6),MONTH(PREMISSAS!$C$6),1),1),PREMISSAS!$C$58,0))))*PREMISSAS!$C$10</f>
        <v>0</v>
      </c>
    </row>
    <row r="25" customFormat="false" ht="15" hidden="false" customHeight="false" outlineLevel="0" collapsed="false">
      <c r="B25" s="30" t="s">
        <v>317</v>
      </c>
      <c r="C25" s="34" t="n">
        <f aca="false">IF(C$3=DATE(YEAR(PREMISSAS!$C$6),MONTH(PREMISSAS!$C$6),1),PREMISSAS!$C$57,0)</f>
        <v>0</v>
      </c>
      <c r="D25" s="34" t="n">
        <f aca="false">PREMISSAS!$C$56*C$9/PREMISSAS!$C$8</f>
        <v>20000</v>
      </c>
      <c r="E25" s="34" t="n">
        <f aca="false">PREMISSAS!$C$56*D$9/PREMISSAS!$C$8</f>
        <v>40000</v>
      </c>
      <c r="F25" s="34" t="n">
        <f aca="false">PREMISSAS!$C$56*E$9/PREMISSAS!$C$8</f>
        <v>41333.3333333333</v>
      </c>
      <c r="G25" s="34" t="n">
        <f aca="false">PREMISSAS!$C$56*F$9/PREMISSAS!$C$8</f>
        <v>40000</v>
      </c>
      <c r="H25" s="34" t="n">
        <f aca="false">PREMISSAS!$C$56*G$9/PREMISSAS!$C$8</f>
        <v>41333.3333333333</v>
      </c>
      <c r="I25" s="34" t="n">
        <f aca="false">PREMISSAS!$C$56*H$9/PREMISSAS!$C$8</f>
        <v>41333.3333333333</v>
      </c>
      <c r="J25" s="34" t="n">
        <f aca="false">PREMISSAS!$C$56*I$9/PREMISSAS!$C$8</f>
        <v>37333.3333333333</v>
      </c>
      <c r="K25" s="34" t="n">
        <f aca="false">PREMISSAS!$C$56*J$9/PREMISSAS!$C$8</f>
        <v>41333.3333333333</v>
      </c>
      <c r="L25" s="34" t="n">
        <f aca="false">PREMISSAS!$C$56*K$9/PREMISSAS!$C$8</f>
        <v>40000</v>
      </c>
      <c r="M25" s="34" t="n">
        <f aca="false">PREMISSAS!$C$56*L$9/PREMISSAS!$C$8</f>
        <v>41333.3333333333</v>
      </c>
      <c r="N25" s="34" t="n">
        <f aca="false">PREMISSAS!$C$56*M$9/PREMISSAS!$C$8</f>
        <v>40000</v>
      </c>
      <c r="O25" s="34" t="n">
        <f aca="false">PREMISSAS!$C$56*N$9/PREMISSAS!$C$8</f>
        <v>41333.3333333333</v>
      </c>
      <c r="P25" s="34" t="n">
        <f aca="false">PREMISSAS!$C$56*O$9/PREMISSAS!$C$8</f>
        <v>0</v>
      </c>
      <c r="Q25" s="34" t="n">
        <f aca="false">PREMISSAS!$C$56*P$9/PREMISSAS!$C$8</f>
        <v>0</v>
      </c>
    </row>
    <row r="26" customFormat="false" ht="15" hidden="false" customHeight="false" outlineLevel="0" collapsed="false">
      <c r="B26" s="30" t="s">
        <v>318</v>
      </c>
      <c r="C26" s="34" t="n">
        <f aca="false">-C25</f>
        <v>-0</v>
      </c>
      <c r="D26" s="34" t="n">
        <f aca="false">C27-D25</f>
        <v>-20000</v>
      </c>
      <c r="E26" s="34" t="n">
        <f aca="false">D27-E25</f>
        <v>-164711.8352</v>
      </c>
      <c r="F26" s="34" t="n">
        <f aca="false">E27-F25</f>
        <v>-90017.0205333335</v>
      </c>
      <c r="G26" s="34" t="n">
        <f aca="false">F27-G25</f>
        <v>-10121.2676000001</v>
      </c>
      <c r="H26" s="34" t="n">
        <f aca="false">G27-H25</f>
        <v>64573.5470666665</v>
      </c>
      <c r="I26" s="34" t="n">
        <f aca="false">H27-I25</f>
        <v>143135.966666666</v>
      </c>
      <c r="J26" s="34" t="n">
        <f aca="false">I27-J25</f>
        <v>225698.386266667</v>
      </c>
      <c r="K26" s="34" t="n">
        <f aca="false">J27-K25</f>
        <v>292657.991066666</v>
      </c>
      <c r="L26" s="34" t="n">
        <f aca="false">K27-L25</f>
        <v>372553.744</v>
      </c>
      <c r="M26" s="34" t="n">
        <f aca="false">L27-M25</f>
        <v>447248.558666666</v>
      </c>
      <c r="N26" s="34" t="n">
        <f aca="false">M27-N25</f>
        <v>527144.3116</v>
      </c>
      <c r="O26" s="34" t="n">
        <f aca="false">N27-O25</f>
        <v>601839.126266666</v>
      </c>
      <c r="P26" s="34" t="n">
        <f aca="false">O27-P25</f>
        <v>721734.8792</v>
      </c>
      <c r="Q26" s="34" t="n">
        <f aca="false">P27-Q25</f>
        <v>721734.8792</v>
      </c>
      <c r="S26" s="35" t="n">
        <f aca="false">MAX(0,-MIN(C26:Q26))</f>
        <v>164711.8352</v>
      </c>
    </row>
    <row r="27" customFormat="false" ht="15" hidden="false" customHeight="false" outlineLevel="0" collapsed="false">
      <c r="B27" s="30" t="s">
        <v>319</v>
      </c>
      <c r="C27" s="34" t="n">
        <f aca="false">C26+C24</f>
        <v>0</v>
      </c>
      <c r="D27" s="34" t="n">
        <f aca="false">D26+D24</f>
        <v>-124711.8352</v>
      </c>
      <c r="E27" s="34" t="n">
        <f aca="false">E26+E24</f>
        <v>-48683.6872000001</v>
      </c>
      <c r="F27" s="34" t="n">
        <f aca="false">F26+F24</f>
        <v>29878.7323999999</v>
      </c>
      <c r="G27" s="34" t="n">
        <f aca="false">G26+G24</f>
        <v>105906.8804</v>
      </c>
      <c r="H27" s="34" t="n">
        <f aca="false">H26+H24</f>
        <v>184469.3</v>
      </c>
      <c r="I27" s="34" t="n">
        <f aca="false">I26+I24</f>
        <v>263031.7196</v>
      </c>
      <c r="J27" s="34" t="n">
        <f aca="false">J26+J24</f>
        <v>333991.3244</v>
      </c>
      <c r="K27" s="34" t="n">
        <f aca="false">K26+K24</f>
        <v>412553.744</v>
      </c>
      <c r="L27" s="34" t="n">
        <f aca="false">L26+L24</f>
        <v>488581.892</v>
      </c>
      <c r="M27" s="34" t="n">
        <f aca="false">M26+M24</f>
        <v>567144.3116</v>
      </c>
      <c r="N27" s="34" t="n">
        <f aca="false">N26+N24</f>
        <v>643172.4596</v>
      </c>
      <c r="O27" s="34" t="n">
        <f aca="false">O26+O24</f>
        <v>721734.8792</v>
      </c>
      <c r="P27" s="34" t="n">
        <f aca="false">P26+P24</f>
        <v>721734.8792</v>
      </c>
      <c r="Q27" s="34" t="n">
        <f aca="false">Q26+Q24</f>
        <v>721734.8792</v>
      </c>
      <c r="S27" s="35" t="n">
        <f aca="false">Q27</f>
        <v>721734.8792</v>
      </c>
    </row>
    <row r="29" customFormat="false" ht="15" hidden="false" customHeight="false" outlineLevel="0" collapsed="false">
      <c r="B29" s="33" t="s">
        <v>322</v>
      </c>
      <c r="C29" s="34" t="n">
        <f aca="false">PREMISSAS!$C$30*(1+PREMISSAS!$C$17)/(1-PREMISSAS!$C$10)*C$4/PREMISSAS!$C$8</f>
        <v>207940.233846154</v>
      </c>
      <c r="D29" s="34" t="n">
        <f aca="false">PREMISSAS!$C$30*(1+PREMISSAS!$C$17)/(1-PREMISSAS!$C$10)*D$4/PREMISSAS!$C$8</f>
        <v>779775.876923077</v>
      </c>
      <c r="E29" s="34" t="n">
        <f aca="false">PREMISSAS!$C$30*(1+PREMISSAS!$C$17)/(1-PREMISSAS!$C$10)*E$4/PREMISSAS!$C$8</f>
        <v>805768.406153846</v>
      </c>
      <c r="F29" s="34" t="n">
        <f aca="false">PREMISSAS!$C$30*(1+PREMISSAS!$C$17)/(1-PREMISSAS!$C$10)*F$4/PREMISSAS!$C$8</f>
        <v>779775.876923077</v>
      </c>
      <c r="G29" s="34" t="n">
        <f aca="false">PREMISSAS!$C$30*(1+PREMISSAS!$C$17)/(1-PREMISSAS!$C$10)*G$4/PREMISSAS!$C$8</f>
        <v>805768.406153846</v>
      </c>
      <c r="H29" s="34" t="n">
        <f aca="false">PREMISSAS!$C$30*(1+PREMISSAS!$C$17)/(1-PREMISSAS!$C$10)*H$4/PREMISSAS!$C$8</f>
        <v>805768.406153846</v>
      </c>
      <c r="I29" s="34" t="n">
        <f aca="false">PREMISSAS!$C$30*(1+PREMISSAS!$C$17)/(1-PREMISSAS!$C$10)*I$4/PREMISSAS!$C$8</f>
        <v>727790.818461538</v>
      </c>
      <c r="J29" s="34" t="n">
        <f aca="false">PREMISSAS!$C$30*(1+PREMISSAS!$C$17)/(1-PREMISSAS!$C$10)*J$4/PREMISSAS!$C$8</f>
        <v>805768.406153846</v>
      </c>
      <c r="K29" s="34" t="n">
        <f aca="false">PREMISSAS!$C$30*(1+PREMISSAS!$C$17)/(1-PREMISSAS!$C$10)*K$4/PREMISSAS!$C$8</f>
        <v>779775.876923077</v>
      </c>
      <c r="L29" s="34" t="n">
        <f aca="false">PREMISSAS!$C$30*(1+PREMISSAS!$C$17)/(1-PREMISSAS!$C$10)*L$4/PREMISSAS!$C$8</f>
        <v>805768.406153846</v>
      </c>
      <c r="M29" s="34" t="n">
        <f aca="false">PREMISSAS!$C$30*(1+PREMISSAS!$C$17)/(1-PREMISSAS!$C$10)*M$4/PREMISSAS!$C$8</f>
        <v>779775.876923077</v>
      </c>
      <c r="N29" s="34" t="n">
        <f aca="false">PREMISSAS!$C$30*(1+PREMISSAS!$C$17)/(1-PREMISSAS!$C$10)*N$4/PREMISSAS!$C$8</f>
        <v>805768.406153846</v>
      </c>
      <c r="O29" s="34" t="n">
        <f aca="false">PREMISSAS!$C$30*(1+PREMISSAS!$C$17)/(1-PREMISSAS!$C$10)*O$4/PREMISSAS!$C$8</f>
        <v>0</v>
      </c>
      <c r="P29" s="34" t="n">
        <f aca="false">PREMISSAS!$C$30*(1+PREMISSAS!$C$17)/(1-PREMISSAS!$C$10)*P$4/PREMISSAS!$C$8</f>
        <v>0</v>
      </c>
      <c r="Q29" s="34" t="n">
        <f aca="false">PREMISSAS!$C$30*(1+PREMISSAS!$C$17)/(1-PREMISSAS!$C$10)*Q$4/PREMISSAS!$C$8</f>
        <v>0</v>
      </c>
    </row>
    <row r="30" customFormat="false" ht="15" hidden="false" customHeight="false" outlineLevel="0" collapsed="false">
      <c r="B30" s="30" t="s">
        <v>316</v>
      </c>
      <c r="C30" s="34" t="n">
        <f aca="false">SUMPRODUCT((AUX!$C$8:$Q$8&gt;=C$3)*(AUX!$C$8:$Q$8&lt;=EOMONTH(C$3,0))*$C$29:$Q$29)-0-IF(PREMISSAS!$C$48="MEDIÇÃO CHEIA",SUMPRODUCT((AUX!$C$8:$Q$8&gt;=C$3)*(AUX!$C$8:$Q$8&lt;=EOMONTH(C$3,0))*$C$29:$Q$29),MAX(0,SUMPRODUCT((AUX!$C$8:$Q$8&gt;=C$3)*(AUX!$C$8:$Q$8&lt;=EOMONTH(C$3,0))*$C$29:$Q$29)-0))*PREMISSAS!$C$10</f>
        <v>0</v>
      </c>
      <c r="D30" s="34" t="n">
        <f aca="false">SUMPRODUCT((AUX!$C$8:$Q$8&gt;=D$3)*(AUX!$C$8:$Q$8&lt;=EOMONTH(D$3,0))*$C$29:$Q$29)-(PREMISSAS!$C$61*C$9/PREMISSAS!$C$8+IF(D$3=EDATE(DATE(YEAR(PREMISSAS!$C$6),MONTH(PREMISSAS!$C$6),1),1),PREMISSAS!$C$58,0))-IF(PREMISSAS!$C$48="MEDIÇÃO CHEIA",SUMPRODUCT((AUX!$C$8:$Q$8&gt;=D$3)*(AUX!$C$8:$Q$8&lt;=EOMONTH(D$3,0))*$C$29:$Q$29),MAX(0,SUMPRODUCT((AUX!$C$8:$Q$8&gt;=D$3)*(AUX!$C$8:$Q$8&lt;=EOMONTH(D$3,0))*$C$29:$Q$29)-(PREMISSAS!$C$61*C$9/PREMISSAS!$C$8+IF(D$3=EDATE(DATE(YEAR(PREMISSAS!$C$6),MONTH(PREMISSAS!$C$6),1),1),PREMISSAS!$C$58,0))))*PREMISSAS!$C$10</f>
        <v>-97953.7776</v>
      </c>
      <c r="E30" s="34" t="n">
        <f aca="false">SUMPRODUCT((AUX!$C$8:$Q$8&gt;=E$3)*(AUX!$C$8:$Q$8&lt;=EOMONTH(E$3,0))*$C$29:$Q$29)-(PREMISSAS!$C$61*D$9/PREMISSAS!$C$8+IF(E$3=EDATE(DATE(YEAR(PREMISSAS!$C$6),MONTH(PREMISSAS!$C$6),1),1),PREMISSAS!$C$58,0))-IF(PREMISSAS!$C$48="MEDIÇÃO CHEIA",SUMPRODUCT((AUX!$C$8:$Q$8&gt;=E$3)*(AUX!$C$8:$Q$8&lt;=EOMONTH(E$3,0))*$C$29:$Q$29),MAX(0,SUMPRODUCT((AUX!$C$8:$Q$8&gt;=E$3)*(AUX!$C$8:$Q$8&lt;=EOMONTH(E$3,0))*$C$29:$Q$29)-(PREMISSAS!$C$61*D$9/PREMISSAS!$C$8+IF(E$3=EDATE(DATE(YEAR(PREMISSAS!$C$6),MONTH(PREMISSAS!$C$6),1),1),PREMISSAS!$C$58,0))))*PREMISSAS!$C$10</f>
        <v>141370.864</v>
      </c>
      <c r="F30" s="34" t="n">
        <f aca="false">SUMPRODUCT((AUX!$C$8:$Q$8&gt;=F$3)*(AUX!$C$8:$Q$8&lt;=EOMONTH(F$3,0))*$C$29:$Q$29)-(PREMISSAS!$C$61*E$9/PREMISSAS!$C$8+IF(F$3=EDATE(DATE(YEAR(PREMISSAS!$C$6),MONTH(PREMISSAS!$C$6),1),1),PREMISSAS!$C$58,0))-IF(PREMISSAS!$C$48="MEDIÇÃO CHEIA",SUMPRODUCT((AUX!$C$8:$Q$8&gt;=F$3)*(AUX!$C$8:$Q$8&lt;=EOMONTH(F$3,0))*$C$29:$Q$29),MAX(0,SUMPRODUCT((AUX!$C$8:$Q$8&gt;=F$3)*(AUX!$C$8:$Q$8&lt;=EOMONTH(F$3,0))*$C$29:$Q$29)-(PREMISSAS!$C$61*E$9/PREMISSAS!$C$8+IF(F$3=EDATE(DATE(YEAR(PREMISSAS!$C$6),MONTH(PREMISSAS!$C$6),1),1),PREMISSAS!$C$58,0))))*PREMISSAS!$C$10</f>
        <v>146083.226133333</v>
      </c>
      <c r="G30" s="34" t="n">
        <f aca="false">SUMPRODUCT((AUX!$C$8:$Q$8&gt;=G$3)*(AUX!$C$8:$Q$8&lt;=EOMONTH(G$3,0))*$C$29:$Q$29)-(PREMISSAS!$C$61*F$9/PREMISSAS!$C$8+IF(G$3=EDATE(DATE(YEAR(PREMISSAS!$C$6),MONTH(PREMISSAS!$C$6),1),1),PREMISSAS!$C$58,0))-IF(PREMISSAS!$C$48="MEDIÇÃO CHEIA",SUMPRODUCT((AUX!$C$8:$Q$8&gt;=G$3)*(AUX!$C$8:$Q$8&lt;=EOMONTH(G$3,0))*$C$29:$Q$29),MAX(0,SUMPRODUCT((AUX!$C$8:$Q$8&gt;=G$3)*(AUX!$C$8:$Q$8&lt;=EOMONTH(G$3,0))*$C$29:$Q$29)-(PREMISSAS!$C$61*F$9/PREMISSAS!$C$8+IF(G$3=EDATE(DATE(YEAR(PREMISSAS!$C$6),MONTH(PREMISSAS!$C$6),1),1),PREMISSAS!$C$58,0))))*PREMISSAS!$C$10</f>
        <v>141370.864</v>
      </c>
      <c r="H30" s="34" t="n">
        <f aca="false">SUMPRODUCT((AUX!$C$8:$Q$8&gt;=H$3)*(AUX!$C$8:$Q$8&lt;=EOMONTH(H$3,0))*$C$29:$Q$29)-(PREMISSAS!$C$61*G$9/PREMISSAS!$C$8+IF(H$3=EDATE(DATE(YEAR(PREMISSAS!$C$6),MONTH(PREMISSAS!$C$6),1),1),PREMISSAS!$C$58,0))-IF(PREMISSAS!$C$48="MEDIÇÃO CHEIA",SUMPRODUCT((AUX!$C$8:$Q$8&gt;=H$3)*(AUX!$C$8:$Q$8&lt;=EOMONTH(H$3,0))*$C$29:$Q$29),MAX(0,SUMPRODUCT((AUX!$C$8:$Q$8&gt;=H$3)*(AUX!$C$8:$Q$8&lt;=EOMONTH(H$3,0))*$C$29:$Q$29)-(PREMISSAS!$C$61*G$9/PREMISSAS!$C$8+IF(H$3=EDATE(DATE(YEAR(PREMISSAS!$C$6),MONTH(PREMISSAS!$C$6),1),1),PREMISSAS!$C$58,0))))*PREMISSAS!$C$10</f>
        <v>146083.226133333</v>
      </c>
      <c r="I30" s="34" t="n">
        <f aca="false">SUMPRODUCT((AUX!$C$8:$Q$8&gt;=I$3)*(AUX!$C$8:$Q$8&lt;=EOMONTH(I$3,0))*$C$29:$Q$29)-(PREMISSAS!$C$61*H$9/PREMISSAS!$C$8+IF(I$3=EDATE(DATE(YEAR(PREMISSAS!$C$6),MONTH(PREMISSAS!$C$6),1),1),PREMISSAS!$C$58,0))-IF(PREMISSAS!$C$48="MEDIÇÃO CHEIA",SUMPRODUCT((AUX!$C$8:$Q$8&gt;=I$3)*(AUX!$C$8:$Q$8&lt;=EOMONTH(I$3,0))*$C$29:$Q$29),MAX(0,SUMPRODUCT((AUX!$C$8:$Q$8&gt;=I$3)*(AUX!$C$8:$Q$8&lt;=EOMONTH(I$3,0))*$C$29:$Q$29)-(PREMISSAS!$C$61*H$9/PREMISSAS!$C$8+IF(I$3=EDATE(DATE(YEAR(PREMISSAS!$C$6),MONTH(PREMISSAS!$C$6),1),1),PREMISSAS!$C$58,0))))*PREMISSAS!$C$10</f>
        <v>146083.226133333</v>
      </c>
      <c r="J30" s="34" t="n">
        <f aca="false">SUMPRODUCT((AUX!$C$8:$Q$8&gt;=J$3)*(AUX!$C$8:$Q$8&lt;=EOMONTH(J$3,0))*$C$29:$Q$29)-(PREMISSAS!$C$61*I$9/PREMISSAS!$C$8+IF(J$3=EDATE(DATE(YEAR(PREMISSAS!$C$6),MONTH(PREMISSAS!$C$6),1),1),PREMISSAS!$C$58,0))-IF(PREMISSAS!$C$48="MEDIÇÃO CHEIA",SUMPRODUCT((AUX!$C$8:$Q$8&gt;=J$3)*(AUX!$C$8:$Q$8&lt;=EOMONTH(J$3,0))*$C$29:$Q$29),MAX(0,SUMPRODUCT((AUX!$C$8:$Q$8&gt;=J$3)*(AUX!$C$8:$Q$8&lt;=EOMONTH(J$3,0))*$C$29:$Q$29)-(PREMISSAS!$C$61*I$9/PREMISSAS!$C$8+IF(J$3=EDATE(DATE(YEAR(PREMISSAS!$C$6),MONTH(PREMISSAS!$C$6),1),1),PREMISSAS!$C$58,0))))*PREMISSAS!$C$10</f>
        <v>131946.139733333</v>
      </c>
      <c r="K30" s="34" t="n">
        <f aca="false">SUMPRODUCT((AUX!$C$8:$Q$8&gt;=K$3)*(AUX!$C$8:$Q$8&lt;=EOMONTH(K$3,0))*$C$29:$Q$29)-(PREMISSAS!$C$61*J$9/PREMISSAS!$C$8+IF(K$3=EDATE(DATE(YEAR(PREMISSAS!$C$6),MONTH(PREMISSAS!$C$6),1),1),PREMISSAS!$C$58,0))-IF(PREMISSAS!$C$48="MEDIÇÃO CHEIA",SUMPRODUCT((AUX!$C$8:$Q$8&gt;=K$3)*(AUX!$C$8:$Q$8&lt;=EOMONTH(K$3,0))*$C$29:$Q$29),MAX(0,SUMPRODUCT((AUX!$C$8:$Q$8&gt;=K$3)*(AUX!$C$8:$Q$8&lt;=EOMONTH(K$3,0))*$C$29:$Q$29)-(PREMISSAS!$C$61*J$9/PREMISSAS!$C$8+IF(K$3=EDATE(DATE(YEAR(PREMISSAS!$C$6),MONTH(PREMISSAS!$C$6),1),1),PREMISSAS!$C$58,0))))*PREMISSAS!$C$10</f>
        <v>146083.226133333</v>
      </c>
      <c r="L30" s="34" t="n">
        <f aca="false">SUMPRODUCT((AUX!$C$8:$Q$8&gt;=L$3)*(AUX!$C$8:$Q$8&lt;=EOMONTH(L$3,0))*$C$29:$Q$29)-(PREMISSAS!$C$61*K$9/PREMISSAS!$C$8+IF(L$3=EDATE(DATE(YEAR(PREMISSAS!$C$6),MONTH(PREMISSAS!$C$6),1),1),PREMISSAS!$C$58,0))-IF(PREMISSAS!$C$48="MEDIÇÃO CHEIA",SUMPRODUCT((AUX!$C$8:$Q$8&gt;=L$3)*(AUX!$C$8:$Q$8&lt;=EOMONTH(L$3,0))*$C$29:$Q$29),MAX(0,SUMPRODUCT((AUX!$C$8:$Q$8&gt;=L$3)*(AUX!$C$8:$Q$8&lt;=EOMONTH(L$3,0))*$C$29:$Q$29)-(PREMISSAS!$C$61*K$9/PREMISSAS!$C$8+IF(L$3=EDATE(DATE(YEAR(PREMISSAS!$C$6),MONTH(PREMISSAS!$C$6),1),1),PREMISSAS!$C$58,0))))*PREMISSAS!$C$10</f>
        <v>141370.864</v>
      </c>
      <c r="M30" s="34" t="n">
        <f aca="false">SUMPRODUCT((AUX!$C$8:$Q$8&gt;=M$3)*(AUX!$C$8:$Q$8&lt;=EOMONTH(M$3,0))*$C$29:$Q$29)-(PREMISSAS!$C$61*L$9/PREMISSAS!$C$8+IF(M$3=EDATE(DATE(YEAR(PREMISSAS!$C$6),MONTH(PREMISSAS!$C$6),1),1),PREMISSAS!$C$58,0))-IF(PREMISSAS!$C$48="MEDIÇÃO CHEIA",SUMPRODUCT((AUX!$C$8:$Q$8&gt;=M$3)*(AUX!$C$8:$Q$8&lt;=EOMONTH(M$3,0))*$C$29:$Q$29),MAX(0,SUMPRODUCT((AUX!$C$8:$Q$8&gt;=M$3)*(AUX!$C$8:$Q$8&lt;=EOMONTH(M$3,0))*$C$29:$Q$29)-(PREMISSAS!$C$61*L$9/PREMISSAS!$C$8+IF(M$3=EDATE(DATE(YEAR(PREMISSAS!$C$6),MONTH(PREMISSAS!$C$6),1),1),PREMISSAS!$C$58,0))))*PREMISSAS!$C$10</f>
        <v>146083.226133333</v>
      </c>
      <c r="N30" s="34" t="n">
        <f aca="false">SUMPRODUCT((AUX!$C$8:$Q$8&gt;=N$3)*(AUX!$C$8:$Q$8&lt;=EOMONTH(N$3,0))*$C$29:$Q$29)-(PREMISSAS!$C$61*M$9/PREMISSAS!$C$8+IF(N$3=EDATE(DATE(YEAR(PREMISSAS!$C$6),MONTH(PREMISSAS!$C$6),1),1),PREMISSAS!$C$58,0))-IF(PREMISSAS!$C$48="MEDIÇÃO CHEIA",SUMPRODUCT((AUX!$C$8:$Q$8&gt;=N$3)*(AUX!$C$8:$Q$8&lt;=EOMONTH(N$3,0))*$C$29:$Q$29),MAX(0,SUMPRODUCT((AUX!$C$8:$Q$8&gt;=N$3)*(AUX!$C$8:$Q$8&lt;=EOMONTH(N$3,0))*$C$29:$Q$29)-(PREMISSAS!$C$61*M$9/PREMISSAS!$C$8+IF(N$3=EDATE(DATE(YEAR(PREMISSAS!$C$6),MONTH(PREMISSAS!$C$6),1),1),PREMISSAS!$C$58,0))))*PREMISSAS!$C$10</f>
        <v>141370.864</v>
      </c>
      <c r="O30" s="34" t="n">
        <f aca="false">SUMPRODUCT((AUX!$C$8:$Q$8&gt;=O$3)*(AUX!$C$8:$Q$8&lt;=EOMONTH(O$3,0))*$C$29:$Q$29)-(PREMISSAS!$C$61*N$9/PREMISSAS!$C$8+IF(O$3=EDATE(DATE(YEAR(PREMISSAS!$C$6),MONTH(PREMISSAS!$C$6),1),1),PREMISSAS!$C$58,0))-IF(PREMISSAS!$C$48="MEDIÇÃO CHEIA",SUMPRODUCT((AUX!$C$8:$Q$8&gt;=O$3)*(AUX!$C$8:$Q$8&lt;=EOMONTH(O$3,0))*$C$29:$Q$29),MAX(0,SUMPRODUCT((AUX!$C$8:$Q$8&gt;=O$3)*(AUX!$C$8:$Q$8&lt;=EOMONTH(O$3,0))*$C$29:$Q$29)-(PREMISSAS!$C$61*N$9/PREMISSAS!$C$8+IF(O$3=EDATE(DATE(YEAR(PREMISSAS!$C$6),MONTH(PREMISSAS!$C$6),1),1),PREMISSAS!$C$58,0))))*PREMISSAS!$C$10</f>
        <v>146083.226133333</v>
      </c>
      <c r="P30" s="34" t="n">
        <f aca="false">SUMPRODUCT((AUX!$C$8:$Q$8&gt;=P$3)*(AUX!$C$8:$Q$8&lt;=EOMONTH(P$3,0))*$C$29:$Q$29)-(PREMISSAS!$C$61*O$9/PREMISSAS!$C$8+IF(P$3=EDATE(DATE(YEAR(PREMISSAS!$C$6),MONTH(PREMISSAS!$C$6),1),1),PREMISSAS!$C$58,0))-IF(PREMISSAS!$C$48="MEDIÇÃO CHEIA",SUMPRODUCT((AUX!$C$8:$Q$8&gt;=P$3)*(AUX!$C$8:$Q$8&lt;=EOMONTH(P$3,0))*$C$29:$Q$29),MAX(0,SUMPRODUCT((AUX!$C$8:$Q$8&gt;=P$3)*(AUX!$C$8:$Q$8&lt;=EOMONTH(P$3,0))*$C$29:$Q$29)-(PREMISSAS!$C$61*O$9/PREMISSAS!$C$8+IF(P$3=EDATE(DATE(YEAR(PREMISSAS!$C$6),MONTH(PREMISSAS!$C$6),1),1),PREMISSAS!$C$58,0))))*PREMISSAS!$C$10</f>
        <v>0</v>
      </c>
      <c r="Q30" s="34" t="n">
        <f aca="false">SUMPRODUCT((AUX!$C$8:$Q$8&gt;=Q$3)*(AUX!$C$8:$Q$8&lt;=EOMONTH(Q$3,0))*$C$29:$Q$29)-(PREMISSAS!$C$61*P$9/PREMISSAS!$C$8+IF(Q$3=EDATE(DATE(YEAR(PREMISSAS!$C$6),MONTH(PREMISSAS!$C$6),1),1),PREMISSAS!$C$58,0))-IF(PREMISSAS!$C$48="MEDIÇÃO CHEIA",SUMPRODUCT((AUX!$C$8:$Q$8&gt;=Q$3)*(AUX!$C$8:$Q$8&lt;=EOMONTH(Q$3,0))*$C$29:$Q$29),MAX(0,SUMPRODUCT((AUX!$C$8:$Q$8&gt;=Q$3)*(AUX!$C$8:$Q$8&lt;=EOMONTH(Q$3,0))*$C$29:$Q$29)-(PREMISSAS!$C$61*P$9/PREMISSAS!$C$8+IF(Q$3=EDATE(DATE(YEAR(PREMISSAS!$C$6),MONTH(PREMISSAS!$C$6),1),1),PREMISSAS!$C$58,0))))*PREMISSAS!$C$10</f>
        <v>0</v>
      </c>
    </row>
    <row r="31" customFormat="false" ht="15" hidden="false" customHeight="false" outlineLevel="0" collapsed="false">
      <c r="B31" s="30" t="s">
        <v>317</v>
      </c>
      <c r="C31" s="34" t="n">
        <f aca="false">IF(C$3=DATE(YEAR(PREMISSAS!$C$6),MONTH(PREMISSAS!$C$6),1),PREMISSAS!$C$57,0)</f>
        <v>0</v>
      </c>
      <c r="D31" s="34" t="n">
        <f aca="false">PREMISSAS!$C$56*C$9/PREMISSAS!$C$8</f>
        <v>20000</v>
      </c>
      <c r="E31" s="34" t="n">
        <f aca="false">PREMISSAS!$C$56*D$9/PREMISSAS!$C$8</f>
        <v>40000</v>
      </c>
      <c r="F31" s="34" t="n">
        <f aca="false">PREMISSAS!$C$56*E$9/PREMISSAS!$C$8</f>
        <v>41333.3333333333</v>
      </c>
      <c r="G31" s="34" t="n">
        <f aca="false">PREMISSAS!$C$56*F$9/PREMISSAS!$C$8</f>
        <v>40000</v>
      </c>
      <c r="H31" s="34" t="n">
        <f aca="false">PREMISSAS!$C$56*G$9/PREMISSAS!$C$8</f>
        <v>41333.3333333333</v>
      </c>
      <c r="I31" s="34" t="n">
        <f aca="false">PREMISSAS!$C$56*H$9/PREMISSAS!$C$8</f>
        <v>41333.3333333333</v>
      </c>
      <c r="J31" s="34" t="n">
        <f aca="false">PREMISSAS!$C$56*I$9/PREMISSAS!$C$8</f>
        <v>37333.3333333333</v>
      </c>
      <c r="K31" s="34" t="n">
        <f aca="false">PREMISSAS!$C$56*J$9/PREMISSAS!$C$8</f>
        <v>41333.3333333333</v>
      </c>
      <c r="L31" s="34" t="n">
        <f aca="false">PREMISSAS!$C$56*K$9/PREMISSAS!$C$8</f>
        <v>40000</v>
      </c>
      <c r="M31" s="34" t="n">
        <f aca="false">PREMISSAS!$C$56*L$9/PREMISSAS!$C$8</f>
        <v>41333.3333333333</v>
      </c>
      <c r="N31" s="34" t="n">
        <f aca="false">PREMISSAS!$C$56*M$9/PREMISSAS!$C$8</f>
        <v>40000</v>
      </c>
      <c r="O31" s="34" t="n">
        <f aca="false">PREMISSAS!$C$56*N$9/PREMISSAS!$C$8</f>
        <v>41333.3333333333</v>
      </c>
      <c r="P31" s="34" t="n">
        <f aca="false">PREMISSAS!$C$56*O$9/PREMISSAS!$C$8</f>
        <v>0</v>
      </c>
      <c r="Q31" s="34" t="n">
        <f aca="false">PREMISSAS!$C$56*P$9/PREMISSAS!$C$8</f>
        <v>0</v>
      </c>
    </row>
    <row r="32" customFormat="false" ht="15" hidden="false" customHeight="false" outlineLevel="0" collapsed="false">
      <c r="B32" s="30" t="s">
        <v>318</v>
      </c>
      <c r="C32" s="34" t="n">
        <f aca="false">-C31</f>
        <v>-0</v>
      </c>
      <c r="D32" s="34" t="n">
        <f aca="false">C33-D31</f>
        <v>-20000</v>
      </c>
      <c r="E32" s="34" t="n">
        <f aca="false">D33-E31</f>
        <v>-157953.7776</v>
      </c>
      <c r="F32" s="34" t="n">
        <f aca="false">E33-F31</f>
        <v>-57916.2469333334</v>
      </c>
      <c r="G32" s="34" t="n">
        <f aca="false">F33-G31</f>
        <v>48166.9791999999</v>
      </c>
      <c r="H32" s="34" t="n">
        <f aca="false">G33-H31</f>
        <v>148204.509866667</v>
      </c>
      <c r="I32" s="34" t="n">
        <f aca="false">H33-I31</f>
        <v>252954.402666667</v>
      </c>
      <c r="J32" s="34" t="n">
        <f aca="false">I33-J31</f>
        <v>361704.295466667</v>
      </c>
      <c r="K32" s="34" t="n">
        <f aca="false">J33-K31</f>
        <v>452317.101866667</v>
      </c>
      <c r="L32" s="34" t="n">
        <f aca="false">K33-L31</f>
        <v>558400.328</v>
      </c>
      <c r="M32" s="34" t="n">
        <f aca="false">L33-M31</f>
        <v>658437.858666666</v>
      </c>
      <c r="N32" s="34" t="n">
        <f aca="false">M33-N31</f>
        <v>764521.0848</v>
      </c>
      <c r="O32" s="34" t="n">
        <f aca="false">N33-O31</f>
        <v>864558.615466666</v>
      </c>
      <c r="P32" s="34" t="n">
        <f aca="false">O33-P31</f>
        <v>1010641.8416</v>
      </c>
      <c r="Q32" s="34" t="n">
        <f aca="false">P33-Q31</f>
        <v>1010641.8416</v>
      </c>
      <c r="S32" s="35" t="n">
        <f aca="false">MAX(0,-MIN(C32:Q32))</f>
        <v>157953.7776</v>
      </c>
    </row>
    <row r="33" customFormat="false" ht="15" hidden="false" customHeight="false" outlineLevel="0" collapsed="false">
      <c r="B33" s="30" t="s">
        <v>319</v>
      </c>
      <c r="C33" s="34" t="n">
        <f aca="false">C32+C30</f>
        <v>0</v>
      </c>
      <c r="D33" s="34" t="n">
        <f aca="false">D32+D30</f>
        <v>-117953.7776</v>
      </c>
      <c r="E33" s="34" t="n">
        <f aca="false">E32+E30</f>
        <v>-16582.9136</v>
      </c>
      <c r="F33" s="34" t="n">
        <f aca="false">F32+F30</f>
        <v>88166.9791999999</v>
      </c>
      <c r="G33" s="34" t="n">
        <f aca="false">G32+G30</f>
        <v>189537.8432</v>
      </c>
      <c r="H33" s="34" t="n">
        <f aca="false">H32+H30</f>
        <v>294287.736</v>
      </c>
      <c r="I33" s="34" t="n">
        <f aca="false">I32+I30</f>
        <v>399037.6288</v>
      </c>
      <c r="J33" s="34" t="n">
        <f aca="false">J32+J30</f>
        <v>493650.4352</v>
      </c>
      <c r="K33" s="34" t="n">
        <f aca="false">K32+K30</f>
        <v>598400.328</v>
      </c>
      <c r="L33" s="34" t="n">
        <f aca="false">L32+L30</f>
        <v>699771.192</v>
      </c>
      <c r="M33" s="34" t="n">
        <f aca="false">M32+M30</f>
        <v>804521.0848</v>
      </c>
      <c r="N33" s="34" t="n">
        <f aca="false">N32+N30</f>
        <v>905891.9488</v>
      </c>
      <c r="O33" s="34" t="n">
        <f aca="false">O32+O30</f>
        <v>1010641.8416</v>
      </c>
      <c r="P33" s="34" t="n">
        <f aca="false">P32+P30</f>
        <v>1010641.8416</v>
      </c>
      <c r="Q33" s="34" t="n">
        <f aca="false">Q32+Q30</f>
        <v>1010641.8416</v>
      </c>
      <c r="S33" s="35" t="n">
        <f aca="false">Q33</f>
        <v>1010641.8416</v>
      </c>
    </row>
  </sheetData>
  <mergeCells count="1">
    <mergeCell ref="B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</cols>
  <sheetData>
    <row r="2" customFormat="false" ht="24" hidden="false" customHeight="true" outlineLevel="0" collapsed="false">
      <c r="B2" s="1" t="s">
        <v>323</v>
      </c>
      <c r="C2" s="1"/>
      <c r="D2" s="1"/>
      <c r="E2" s="1"/>
    </row>
    <row r="3" customFormat="false" ht="15" hidden="false" customHeight="false" outlineLevel="0" collapsed="false">
      <c r="B3" s="2" t="s">
        <v>324</v>
      </c>
      <c r="C3" s="2"/>
      <c r="D3" s="2"/>
      <c r="E3" s="2"/>
    </row>
    <row r="4" customFormat="false" ht="15" hidden="false" customHeight="false" outlineLevel="0" collapsed="false">
      <c r="B4" s="27" t="s">
        <v>325</v>
      </c>
      <c r="C4" s="27" t="s">
        <v>326</v>
      </c>
      <c r="D4" s="27" t="s">
        <v>327</v>
      </c>
      <c r="E4" s="27" t="s">
        <v>328</v>
      </c>
    </row>
    <row r="5" customFormat="false" ht="15" hidden="false" customHeight="false" outlineLevel="0" collapsed="false">
      <c r="B5" s="3" t="s">
        <v>329</v>
      </c>
      <c r="C5" s="3"/>
      <c r="D5" s="3"/>
      <c r="E5" s="3"/>
    </row>
    <row r="6" customFormat="false" ht="15" hidden="false" customHeight="false" outlineLevel="0" collapsed="false">
      <c r="B6" s="30" t="s">
        <v>330</v>
      </c>
      <c r="C6" s="75" t="s">
        <v>331</v>
      </c>
      <c r="D6" s="75" t="s">
        <v>332</v>
      </c>
      <c r="E6" s="76" t="n">
        <v>60.9462</v>
      </c>
    </row>
    <row r="7" customFormat="false" ht="15" hidden="false" customHeight="false" outlineLevel="0" collapsed="false">
      <c r="B7" s="30" t="s">
        <v>333</v>
      </c>
      <c r="C7" s="75" t="s">
        <v>334</v>
      </c>
      <c r="D7" s="75" t="s">
        <v>332</v>
      </c>
      <c r="E7" s="76" t="n">
        <v>151.8069</v>
      </c>
    </row>
    <row r="8" customFormat="false" ht="15" hidden="false" customHeight="false" outlineLevel="0" collapsed="false">
      <c r="B8" s="30" t="s">
        <v>335</v>
      </c>
      <c r="C8" s="75" t="s">
        <v>336</v>
      </c>
      <c r="D8" s="75" t="s">
        <v>332</v>
      </c>
      <c r="E8" s="76" t="n">
        <v>202.3896</v>
      </c>
    </row>
    <row r="9" customFormat="false" ht="15" hidden="false" customHeight="false" outlineLevel="0" collapsed="false">
      <c r="B9" s="30" t="s">
        <v>337</v>
      </c>
      <c r="C9" s="75" t="s">
        <v>338</v>
      </c>
      <c r="D9" s="75" t="s">
        <v>332</v>
      </c>
      <c r="E9" s="76" t="n">
        <v>282.6712</v>
      </c>
    </row>
    <row r="10" customFormat="false" ht="15" hidden="false" customHeight="false" outlineLevel="0" collapsed="false">
      <c r="B10" s="30" t="s">
        <v>339</v>
      </c>
      <c r="C10" s="75" t="s">
        <v>340</v>
      </c>
      <c r="D10" s="75" t="s">
        <v>332</v>
      </c>
      <c r="E10" s="76" t="n">
        <v>338.9036</v>
      </c>
    </row>
    <row r="11" customFormat="false" ht="15" hidden="false" customHeight="false" outlineLevel="0" collapsed="false">
      <c r="B11" s="30" t="s">
        <v>341</v>
      </c>
      <c r="C11" s="75" t="s">
        <v>342</v>
      </c>
      <c r="D11" s="75" t="s">
        <v>332</v>
      </c>
      <c r="E11" s="76" t="n">
        <v>193.795</v>
      </c>
    </row>
    <row r="12" customFormat="false" ht="15" hidden="false" customHeight="false" outlineLevel="0" collapsed="false">
      <c r="B12" s="30" t="s">
        <v>343</v>
      </c>
      <c r="C12" s="75" t="s">
        <v>344</v>
      </c>
      <c r="D12" s="75" t="s">
        <v>332</v>
      </c>
      <c r="E12" s="76" t="n">
        <v>436.7811</v>
      </c>
    </row>
    <row r="13" customFormat="false" ht="15" hidden="false" customHeight="false" outlineLevel="0" collapsed="false">
      <c r="B13" s="30" t="s">
        <v>345</v>
      </c>
      <c r="C13" s="75" t="s">
        <v>346</v>
      </c>
      <c r="D13" s="75" t="s">
        <v>332</v>
      </c>
      <c r="E13" s="76" t="n">
        <v>500.8731</v>
      </c>
    </row>
    <row r="14" customFormat="false" ht="15" hidden="false" customHeight="false" outlineLevel="0" collapsed="false">
      <c r="B14" s="30" t="s">
        <v>347</v>
      </c>
      <c r="C14" s="75" t="s">
        <v>348</v>
      </c>
      <c r="D14" s="75" t="s">
        <v>332</v>
      </c>
      <c r="E14" s="76" t="n">
        <v>637.5047</v>
      </c>
    </row>
    <row r="15" customFormat="false" ht="15" hidden="false" customHeight="false" outlineLevel="0" collapsed="false">
      <c r="B15" s="30" t="s">
        <v>349</v>
      </c>
      <c r="C15" s="75" t="s">
        <v>350</v>
      </c>
      <c r="D15" s="75" t="s">
        <v>332</v>
      </c>
      <c r="E15" s="76" t="n">
        <v>654.591</v>
      </c>
    </row>
    <row r="16" customFormat="false" ht="15" hidden="false" customHeight="false" outlineLevel="0" collapsed="false">
      <c r="B16" s="30" t="s">
        <v>351</v>
      </c>
      <c r="C16" s="75" t="s">
        <v>352</v>
      </c>
      <c r="D16" s="75" t="s">
        <v>332</v>
      </c>
      <c r="E16" s="76" t="n">
        <v>704.5906</v>
      </c>
    </row>
    <row r="17" customFormat="false" ht="15" hidden="false" customHeight="false" outlineLevel="0" collapsed="false">
      <c r="B17" s="30" t="s">
        <v>353</v>
      </c>
      <c r="C17" s="75" t="s">
        <v>354</v>
      </c>
      <c r="D17" s="75" t="s">
        <v>332</v>
      </c>
      <c r="E17" s="76" t="n">
        <v>311.3901</v>
      </c>
    </row>
    <row r="18" customFormat="false" ht="15" hidden="false" customHeight="false" outlineLevel="0" collapsed="false">
      <c r="B18" s="30" t="s">
        <v>355</v>
      </c>
      <c r="C18" s="75" t="s">
        <v>356</v>
      </c>
      <c r="D18" s="75" t="s">
        <v>332</v>
      </c>
      <c r="E18" s="76" t="n">
        <v>139.895</v>
      </c>
    </row>
    <row r="19" customFormat="false" ht="15" hidden="false" customHeight="false" outlineLevel="0" collapsed="false">
      <c r="B19" s="30" t="s">
        <v>357</v>
      </c>
      <c r="C19" s="75" t="s">
        <v>358</v>
      </c>
      <c r="D19" s="75" t="s">
        <v>332</v>
      </c>
      <c r="E19" s="76" t="n">
        <v>242.9665</v>
      </c>
    </row>
    <row r="20" customFormat="false" ht="15" hidden="false" customHeight="false" outlineLevel="0" collapsed="false">
      <c r="B20" s="30" t="s">
        <v>359</v>
      </c>
      <c r="C20" s="75" t="s">
        <v>360</v>
      </c>
      <c r="D20" s="75" t="s">
        <v>332</v>
      </c>
      <c r="E20" s="76" t="n">
        <v>41.9636</v>
      </c>
    </row>
    <row r="21" customFormat="false" ht="15" hidden="false" customHeight="false" outlineLevel="0" collapsed="false">
      <c r="B21" s="30" t="s">
        <v>361</v>
      </c>
      <c r="C21" s="75" t="s">
        <v>362</v>
      </c>
      <c r="D21" s="75" t="s">
        <v>332</v>
      </c>
      <c r="E21" s="76" t="n">
        <v>78.106</v>
      </c>
    </row>
    <row r="22" customFormat="false" ht="15" hidden="false" customHeight="false" outlineLevel="0" collapsed="false">
      <c r="B22" s="30" t="s">
        <v>363</v>
      </c>
      <c r="C22" s="75" t="s">
        <v>364</v>
      </c>
      <c r="D22" s="75" t="s">
        <v>332</v>
      </c>
      <c r="E22" s="76" t="n">
        <v>114.2533</v>
      </c>
    </row>
    <row r="23" customFormat="false" ht="15" hidden="false" customHeight="false" outlineLevel="0" collapsed="false">
      <c r="B23" s="30" t="s">
        <v>365</v>
      </c>
      <c r="C23" s="75" t="s">
        <v>366</v>
      </c>
      <c r="D23" s="75" t="s">
        <v>332</v>
      </c>
      <c r="E23" s="76" t="n">
        <v>527.8378</v>
      </c>
    </row>
    <row r="24" customFormat="false" ht="15" hidden="false" customHeight="false" outlineLevel="0" collapsed="false">
      <c r="B24" s="30" t="s">
        <v>367</v>
      </c>
      <c r="C24" s="75" t="s">
        <v>368</v>
      </c>
      <c r="D24" s="75" t="s">
        <v>332</v>
      </c>
      <c r="E24" s="76" t="n">
        <v>407.2194</v>
      </c>
    </row>
    <row r="25" customFormat="false" ht="15" hidden="false" customHeight="false" outlineLevel="0" collapsed="false">
      <c r="B25" s="30" t="s">
        <v>369</v>
      </c>
      <c r="C25" s="75" t="s">
        <v>370</v>
      </c>
      <c r="D25" s="75" t="s">
        <v>332</v>
      </c>
      <c r="E25" s="76" t="n">
        <v>139.895</v>
      </c>
    </row>
    <row r="26" customFormat="false" ht="15" hidden="false" customHeight="false" outlineLevel="0" collapsed="false">
      <c r="B26" s="30" t="s">
        <v>371</v>
      </c>
      <c r="C26" s="75" t="s">
        <v>372</v>
      </c>
      <c r="D26" s="75" t="s">
        <v>332</v>
      </c>
      <c r="E26" s="76" t="n">
        <v>242.9665</v>
      </c>
    </row>
    <row r="27" customFormat="false" ht="15" hidden="false" customHeight="false" outlineLevel="0" collapsed="false">
      <c r="B27" s="30" t="s">
        <v>373</v>
      </c>
      <c r="C27" s="75" t="s">
        <v>374</v>
      </c>
      <c r="D27" s="75" t="s">
        <v>332</v>
      </c>
      <c r="E27" s="76" t="n">
        <v>76.0578</v>
      </c>
    </row>
    <row r="28" customFormat="false" ht="15" hidden="false" customHeight="false" outlineLevel="0" collapsed="false">
      <c r="B28" s="3" t="s">
        <v>375</v>
      </c>
      <c r="C28" s="3"/>
      <c r="D28" s="3"/>
      <c r="E28" s="3"/>
    </row>
    <row r="29" customFormat="false" ht="15" hidden="false" customHeight="false" outlineLevel="0" collapsed="false">
      <c r="B29" s="30" t="s">
        <v>376</v>
      </c>
      <c r="C29" s="75" t="s">
        <v>377</v>
      </c>
      <c r="D29" s="75" t="s">
        <v>332</v>
      </c>
      <c r="E29" s="76" t="n">
        <v>702.8462</v>
      </c>
    </row>
    <row r="30" customFormat="false" ht="15" hidden="false" customHeight="false" outlineLevel="0" collapsed="false">
      <c r="B30" s="30" t="s">
        <v>378</v>
      </c>
      <c r="C30" s="75" t="s">
        <v>379</v>
      </c>
      <c r="D30" s="75" t="s">
        <v>332</v>
      </c>
      <c r="E30" s="76" t="n">
        <v>787.4986</v>
      </c>
    </row>
    <row r="31" customFormat="false" ht="15" hidden="false" customHeight="false" outlineLevel="0" collapsed="false">
      <c r="B31" s="30" t="s">
        <v>380</v>
      </c>
      <c r="C31" s="75" t="s">
        <v>381</v>
      </c>
      <c r="D31" s="75" t="s">
        <v>332</v>
      </c>
      <c r="E31" s="76" t="n">
        <v>798.504</v>
      </c>
    </row>
    <row r="32" customFormat="false" ht="15" hidden="false" customHeight="false" outlineLevel="0" collapsed="false">
      <c r="B32" s="30" t="s">
        <v>382</v>
      </c>
      <c r="C32" s="75" t="s">
        <v>383</v>
      </c>
      <c r="D32" s="75" t="s">
        <v>332</v>
      </c>
      <c r="E32" s="76" t="n">
        <v>803.4628</v>
      </c>
    </row>
    <row r="33" customFormat="false" ht="15" hidden="false" customHeight="false" outlineLevel="0" collapsed="false">
      <c r="B33" s="30" t="s">
        <v>384</v>
      </c>
      <c r="C33" s="75" t="s">
        <v>385</v>
      </c>
      <c r="D33" s="75" t="s">
        <v>332</v>
      </c>
      <c r="E33" s="76" t="n">
        <v>840.7175</v>
      </c>
    </row>
    <row r="34" customFormat="false" ht="15" hidden="false" customHeight="false" outlineLevel="0" collapsed="false">
      <c r="B34" s="30" t="s">
        <v>386</v>
      </c>
      <c r="C34" s="75" t="s">
        <v>387</v>
      </c>
      <c r="D34" s="75" t="s">
        <v>332</v>
      </c>
      <c r="E34" s="76" t="n">
        <v>806.246</v>
      </c>
    </row>
    <row r="35" customFormat="false" ht="15" hidden="false" customHeight="false" outlineLevel="0" collapsed="false">
      <c r="B35" s="30" t="s">
        <v>388</v>
      </c>
      <c r="C35" s="75" t="s">
        <v>389</v>
      </c>
      <c r="D35" s="75" t="s">
        <v>332</v>
      </c>
      <c r="E35" s="76" t="n">
        <v>864.5462</v>
      </c>
    </row>
    <row r="36" customFormat="false" ht="15" hidden="false" customHeight="false" outlineLevel="0" collapsed="false">
      <c r="B36" s="30" t="s">
        <v>390</v>
      </c>
      <c r="C36" s="75" t="s">
        <v>391</v>
      </c>
      <c r="D36" s="75" t="s">
        <v>332</v>
      </c>
      <c r="E36" s="76" t="n">
        <v>909.6507</v>
      </c>
    </row>
    <row r="37" customFormat="false" ht="15" hidden="false" customHeight="false" outlineLevel="0" collapsed="false">
      <c r="B37" s="30" t="s">
        <v>392</v>
      </c>
      <c r="C37" s="75" t="s">
        <v>393</v>
      </c>
      <c r="D37" s="75" t="s">
        <v>332</v>
      </c>
      <c r="E37" s="76" t="n">
        <v>1002.3048</v>
      </c>
    </row>
    <row r="38" customFormat="false" ht="15" hidden="false" customHeight="false" outlineLevel="0" collapsed="false">
      <c r="B38" s="30" t="s">
        <v>394</v>
      </c>
      <c r="C38" s="75" t="s">
        <v>395</v>
      </c>
      <c r="D38" s="75" t="s">
        <v>332</v>
      </c>
      <c r="E38" s="76" t="n">
        <v>1034.1009</v>
      </c>
    </row>
    <row r="39" customFormat="false" ht="15" hidden="false" customHeight="false" outlineLevel="0" collapsed="false">
      <c r="B39" s="30" t="s">
        <v>396</v>
      </c>
      <c r="C39" s="75" t="s">
        <v>397</v>
      </c>
      <c r="D39" s="75" t="s">
        <v>332</v>
      </c>
      <c r="E39" s="76" t="n">
        <v>501.5297</v>
      </c>
    </row>
    <row r="40" customFormat="false" ht="15" hidden="false" customHeight="false" outlineLevel="0" collapsed="false">
      <c r="B40" s="30" t="s">
        <v>398</v>
      </c>
      <c r="C40" s="75" t="s">
        <v>399</v>
      </c>
      <c r="D40" s="75" t="s">
        <v>332</v>
      </c>
      <c r="E40" s="76" t="n">
        <v>460.355</v>
      </c>
    </row>
    <row r="41" customFormat="false" ht="15" hidden="false" customHeight="false" outlineLevel="0" collapsed="false">
      <c r="B41" s="30" t="s">
        <v>400</v>
      </c>
      <c r="C41" s="75" t="s">
        <v>401</v>
      </c>
      <c r="D41" s="75" t="s">
        <v>332</v>
      </c>
      <c r="E41" s="76" t="n">
        <v>562.5249</v>
      </c>
    </row>
    <row r="42" customFormat="false" ht="15" hidden="false" customHeight="false" outlineLevel="0" collapsed="false">
      <c r="B42" s="30" t="s">
        <v>402</v>
      </c>
      <c r="C42" s="75" t="s">
        <v>403</v>
      </c>
      <c r="D42" s="75" t="s">
        <v>332</v>
      </c>
      <c r="E42" s="76" t="n">
        <v>603.0381</v>
      </c>
    </row>
    <row r="43" customFormat="false" ht="15" hidden="false" customHeight="false" outlineLevel="0" collapsed="false">
      <c r="B43" s="30" t="s">
        <v>404</v>
      </c>
      <c r="C43" s="75" t="s">
        <v>405</v>
      </c>
      <c r="D43" s="75" t="s">
        <v>406</v>
      </c>
      <c r="E43" s="76" t="n">
        <v>15.4301</v>
      </c>
    </row>
    <row r="44" customFormat="false" ht="15" hidden="false" customHeight="false" outlineLevel="0" collapsed="false">
      <c r="B44" s="30" t="s">
        <v>407</v>
      </c>
      <c r="C44" s="75" t="s">
        <v>408</v>
      </c>
      <c r="D44" s="75" t="s">
        <v>332</v>
      </c>
      <c r="E44" s="76" t="n">
        <v>139.895</v>
      </c>
    </row>
    <row r="45" customFormat="false" ht="15" hidden="false" customHeight="false" outlineLevel="0" collapsed="false">
      <c r="B45" s="30" t="s">
        <v>409</v>
      </c>
      <c r="C45" s="75" t="s">
        <v>410</v>
      </c>
      <c r="D45" s="75" t="s">
        <v>332</v>
      </c>
      <c r="E45" s="76" t="n">
        <v>242.9665</v>
      </c>
    </row>
    <row r="46" customFormat="false" ht="15" hidden="false" customHeight="false" outlineLevel="0" collapsed="false">
      <c r="B46" s="30" t="s">
        <v>411</v>
      </c>
      <c r="C46" s="75" t="s">
        <v>412</v>
      </c>
      <c r="D46" s="75" t="s">
        <v>332</v>
      </c>
      <c r="E46" s="76" t="n">
        <v>93.6978</v>
      </c>
    </row>
    <row r="47" customFormat="false" ht="15" hidden="false" customHeight="false" outlineLevel="0" collapsed="false">
      <c r="B47" s="30" t="s">
        <v>413</v>
      </c>
      <c r="C47" s="75" t="s">
        <v>414</v>
      </c>
      <c r="D47" s="75" t="s">
        <v>332</v>
      </c>
      <c r="E47" s="76" t="n">
        <v>153.3896</v>
      </c>
    </row>
    <row r="48" customFormat="false" ht="15" hidden="false" customHeight="false" outlineLevel="0" collapsed="false">
      <c r="B48" s="30" t="s">
        <v>415</v>
      </c>
      <c r="C48" s="75" t="s">
        <v>416</v>
      </c>
      <c r="D48" s="75" t="s">
        <v>332</v>
      </c>
      <c r="E48" s="76" t="n">
        <v>213.0814</v>
      </c>
    </row>
    <row r="49" customFormat="false" ht="15" hidden="false" customHeight="false" outlineLevel="0" collapsed="false">
      <c r="B49" s="30" t="s">
        <v>417</v>
      </c>
      <c r="C49" s="75" t="s">
        <v>418</v>
      </c>
      <c r="D49" s="75" t="s">
        <v>332</v>
      </c>
      <c r="E49" s="76" t="n">
        <v>559.8887</v>
      </c>
    </row>
    <row r="50" customFormat="false" ht="15" hidden="false" customHeight="false" outlineLevel="0" collapsed="false">
      <c r="B50" s="30" t="s">
        <v>419</v>
      </c>
      <c r="C50" s="75" t="s">
        <v>420</v>
      </c>
      <c r="D50" s="75" t="s">
        <v>332</v>
      </c>
      <c r="E50" s="76" t="n">
        <v>484.8305</v>
      </c>
    </row>
    <row r="51" customFormat="false" ht="15" hidden="false" customHeight="false" outlineLevel="0" collapsed="false">
      <c r="B51" s="30" t="s">
        <v>421</v>
      </c>
      <c r="C51" s="75" t="s">
        <v>422</v>
      </c>
      <c r="D51" s="75" t="s">
        <v>332</v>
      </c>
      <c r="E51" s="76" t="n">
        <v>139.895</v>
      </c>
    </row>
    <row r="52" customFormat="false" ht="15" hidden="false" customHeight="false" outlineLevel="0" collapsed="false">
      <c r="B52" s="30" t="s">
        <v>423</v>
      </c>
      <c r="C52" s="75" t="s">
        <v>424</v>
      </c>
      <c r="D52" s="75" t="s">
        <v>332</v>
      </c>
      <c r="E52" s="76" t="n">
        <v>242.9665</v>
      </c>
    </row>
    <row r="53" customFormat="false" ht="15" hidden="false" customHeight="false" outlineLevel="0" collapsed="false">
      <c r="B53" s="30" t="s">
        <v>425</v>
      </c>
      <c r="C53" s="75" t="s">
        <v>426</v>
      </c>
      <c r="D53" s="75" t="s">
        <v>332</v>
      </c>
      <c r="E53" s="76" t="n">
        <v>103.3214</v>
      </c>
    </row>
    <row r="54" customFormat="false" ht="15" hidden="false" customHeight="false" outlineLevel="0" collapsed="false">
      <c r="B54" s="30" t="s">
        <v>427</v>
      </c>
      <c r="C54" s="75" t="s">
        <v>428</v>
      </c>
      <c r="D54" s="75" t="s">
        <v>332</v>
      </c>
      <c r="E54" s="76" t="n">
        <v>47.3585</v>
      </c>
    </row>
    <row r="55" customFormat="false" ht="15" hidden="false" customHeight="false" outlineLevel="0" collapsed="false">
      <c r="B55" s="30" t="s">
        <v>429</v>
      </c>
      <c r="C55" s="75" t="s">
        <v>430</v>
      </c>
      <c r="D55" s="75" t="s">
        <v>332</v>
      </c>
      <c r="E55" s="76" t="n">
        <v>159.4999</v>
      </c>
    </row>
    <row r="56" customFormat="false" ht="15" hidden="false" customHeight="false" outlineLevel="0" collapsed="false">
      <c r="B56" s="30" t="s">
        <v>431</v>
      </c>
      <c r="C56" s="75" t="s">
        <v>432</v>
      </c>
      <c r="D56" s="75" t="s">
        <v>332</v>
      </c>
      <c r="E56" s="76" t="n">
        <v>159.4999</v>
      </c>
    </row>
    <row r="57" customFormat="false" ht="15" hidden="false" customHeight="false" outlineLevel="0" collapsed="false">
      <c r="B57" s="30" t="s">
        <v>433</v>
      </c>
      <c r="C57" s="75" t="s">
        <v>434</v>
      </c>
      <c r="D57" s="75" t="s">
        <v>332</v>
      </c>
      <c r="E57" s="76" t="n">
        <v>2.4745</v>
      </c>
    </row>
    <row r="58" customFormat="false" ht="15" hidden="false" customHeight="false" outlineLevel="0" collapsed="false">
      <c r="B58" s="30" t="s">
        <v>435</v>
      </c>
      <c r="C58" s="75" t="s">
        <v>436</v>
      </c>
      <c r="D58" s="75" t="s">
        <v>332</v>
      </c>
      <c r="E58" s="76" t="n">
        <v>81.095</v>
      </c>
    </row>
    <row r="59" customFormat="false" ht="15" hidden="false" customHeight="false" outlineLevel="0" collapsed="false">
      <c r="B59" s="30" t="s">
        <v>437</v>
      </c>
      <c r="C59" s="75" t="s">
        <v>438</v>
      </c>
      <c r="D59" s="75" t="s">
        <v>332</v>
      </c>
      <c r="E59" s="76" t="n">
        <v>159.4999</v>
      </c>
    </row>
    <row r="60" customFormat="false" ht="15" hidden="false" customHeight="false" outlineLevel="0" collapsed="false">
      <c r="B60" s="30" t="s">
        <v>439</v>
      </c>
      <c r="C60" s="75" t="s">
        <v>440</v>
      </c>
      <c r="D60" s="75" t="s">
        <v>332</v>
      </c>
      <c r="E60" s="76" t="n">
        <v>67.7425</v>
      </c>
    </row>
    <row r="61" customFormat="false" ht="15" hidden="false" customHeight="false" outlineLevel="0" collapsed="false">
      <c r="B61" s="30" t="s">
        <v>441</v>
      </c>
      <c r="C61" s="75" t="s">
        <v>442</v>
      </c>
      <c r="D61" s="75" t="s">
        <v>332</v>
      </c>
      <c r="E61" s="76" t="n">
        <v>118.6976</v>
      </c>
    </row>
    <row r="62" customFormat="false" ht="15" hidden="false" customHeight="false" outlineLevel="0" collapsed="false">
      <c r="B62" s="30" t="s">
        <v>443</v>
      </c>
      <c r="C62" s="75" t="s">
        <v>444</v>
      </c>
      <c r="D62" s="75" t="s">
        <v>332</v>
      </c>
      <c r="E62" s="76" t="n">
        <v>313.3697</v>
      </c>
    </row>
    <row r="63" customFormat="false" ht="15" hidden="false" customHeight="false" outlineLevel="0" collapsed="false">
      <c r="B63" s="30" t="s">
        <v>445</v>
      </c>
      <c r="C63" s="75" t="s">
        <v>446</v>
      </c>
      <c r="D63" s="75" t="s">
        <v>332</v>
      </c>
      <c r="E63" s="76" t="n">
        <v>104.0025</v>
      </c>
    </row>
    <row r="64" customFormat="false" ht="15" hidden="false" customHeight="false" outlineLevel="0" collapsed="false">
      <c r="B64" s="30" t="s">
        <v>445</v>
      </c>
      <c r="C64" s="75" t="s">
        <v>447</v>
      </c>
      <c r="D64" s="75" t="s">
        <v>332</v>
      </c>
      <c r="E64" s="76" t="n">
        <v>81.095</v>
      </c>
    </row>
    <row r="65" customFormat="false" ht="15" hidden="false" customHeight="false" outlineLevel="0" collapsed="false">
      <c r="B65" s="3" t="s">
        <v>448</v>
      </c>
      <c r="C65" s="3"/>
      <c r="D65" s="3"/>
      <c r="E65" s="3"/>
    </row>
    <row r="66" customFormat="false" ht="15" hidden="false" customHeight="false" outlineLevel="0" collapsed="false">
      <c r="B66" s="30" t="s">
        <v>449</v>
      </c>
      <c r="C66" s="75" t="s">
        <v>450</v>
      </c>
      <c r="D66" s="75" t="s">
        <v>332</v>
      </c>
      <c r="E66" s="76" t="n">
        <v>722.4952</v>
      </c>
    </row>
    <row r="67" customFormat="false" ht="15" hidden="false" customHeight="false" outlineLevel="0" collapsed="false">
      <c r="B67" s="30" t="s">
        <v>451</v>
      </c>
      <c r="C67" s="75" t="s">
        <v>452</v>
      </c>
      <c r="D67" s="75" t="s">
        <v>332</v>
      </c>
      <c r="E67" s="76" t="n">
        <v>785.0682</v>
      </c>
    </row>
    <row r="68" customFormat="false" ht="15" hidden="false" customHeight="false" outlineLevel="0" collapsed="false">
      <c r="B68" s="30" t="s">
        <v>453</v>
      </c>
      <c r="C68" s="75" t="s">
        <v>454</v>
      </c>
      <c r="D68" s="75" t="s">
        <v>332</v>
      </c>
      <c r="E68" s="76" t="n">
        <v>786.8518</v>
      </c>
    </row>
    <row r="69" customFormat="false" ht="15" hidden="false" customHeight="false" outlineLevel="0" collapsed="false">
      <c r="B69" s="30" t="s">
        <v>455</v>
      </c>
      <c r="C69" s="75" t="s">
        <v>456</v>
      </c>
      <c r="D69" s="75" t="s">
        <v>332</v>
      </c>
      <c r="E69" s="76" t="n">
        <v>820.9803</v>
      </c>
    </row>
    <row r="70" customFormat="false" ht="15" hidden="false" customHeight="false" outlineLevel="0" collapsed="false">
      <c r="B70" s="30" t="s">
        <v>457</v>
      </c>
      <c r="C70" s="75" t="s">
        <v>458</v>
      </c>
      <c r="D70" s="75" t="s">
        <v>332</v>
      </c>
      <c r="E70" s="76" t="n">
        <v>841.6044</v>
      </c>
    </row>
    <row r="71" customFormat="false" ht="15" hidden="false" customHeight="false" outlineLevel="0" collapsed="false">
      <c r="B71" s="30" t="s">
        <v>459</v>
      </c>
      <c r="C71" s="75" t="s">
        <v>460</v>
      </c>
      <c r="D71" s="75" t="s">
        <v>332</v>
      </c>
      <c r="E71" s="76" t="n">
        <v>885.9592</v>
      </c>
    </row>
    <row r="72" customFormat="false" ht="15" hidden="false" customHeight="false" outlineLevel="0" collapsed="false">
      <c r="B72" s="30" t="s">
        <v>461</v>
      </c>
      <c r="C72" s="75" t="s">
        <v>462</v>
      </c>
      <c r="D72" s="75" t="s">
        <v>332</v>
      </c>
      <c r="E72" s="76" t="n">
        <v>960.4441</v>
      </c>
    </row>
    <row r="73" customFormat="false" ht="15" hidden="false" customHeight="false" outlineLevel="0" collapsed="false">
      <c r="B73" s="30" t="s">
        <v>463</v>
      </c>
      <c r="C73" s="75" t="s">
        <v>464</v>
      </c>
      <c r="D73" s="75" t="s">
        <v>332</v>
      </c>
      <c r="E73" s="76" t="n">
        <v>1022.7574</v>
      </c>
    </row>
    <row r="74" customFormat="false" ht="15" hidden="false" customHeight="false" outlineLevel="0" collapsed="false">
      <c r="B74" s="30" t="s">
        <v>465</v>
      </c>
      <c r="C74" s="75" t="s">
        <v>466</v>
      </c>
      <c r="D74" s="75" t="s">
        <v>332</v>
      </c>
      <c r="E74" s="76" t="n">
        <v>1079.5925</v>
      </c>
    </row>
    <row r="75" customFormat="false" ht="15" hidden="false" customHeight="false" outlineLevel="0" collapsed="false">
      <c r="B75" s="30" t="s">
        <v>467</v>
      </c>
      <c r="C75" s="75" t="s">
        <v>468</v>
      </c>
      <c r="D75" s="75" t="s">
        <v>332</v>
      </c>
      <c r="E75" s="76" t="n">
        <v>1144.6351</v>
      </c>
    </row>
    <row r="76" customFormat="false" ht="15" hidden="false" customHeight="false" outlineLevel="0" collapsed="false">
      <c r="B76" s="30" t="s">
        <v>469</v>
      </c>
      <c r="C76" s="75" t="s">
        <v>470</v>
      </c>
      <c r="D76" s="75" t="s">
        <v>332</v>
      </c>
      <c r="E76" s="76" t="n">
        <v>139.895</v>
      </c>
    </row>
    <row r="77" customFormat="false" ht="15" hidden="false" customHeight="false" outlineLevel="0" collapsed="false">
      <c r="B77" s="30" t="s">
        <v>471</v>
      </c>
      <c r="C77" s="75" t="s">
        <v>472</v>
      </c>
      <c r="D77" s="75" t="s">
        <v>332</v>
      </c>
      <c r="E77" s="76" t="n">
        <v>242.9665</v>
      </c>
    </row>
    <row r="78" customFormat="false" ht="15" hidden="false" customHeight="false" outlineLevel="0" collapsed="false">
      <c r="B78" s="30" t="s">
        <v>473</v>
      </c>
      <c r="C78" s="75" t="s">
        <v>474</v>
      </c>
      <c r="D78" s="75" t="s">
        <v>332</v>
      </c>
      <c r="E78" s="76" t="n">
        <v>123.2938</v>
      </c>
    </row>
    <row r="79" customFormat="false" ht="15" hidden="false" customHeight="false" outlineLevel="0" collapsed="false">
      <c r="B79" s="30" t="s">
        <v>475</v>
      </c>
      <c r="C79" s="75" t="s">
        <v>476</v>
      </c>
      <c r="D79" s="75" t="s">
        <v>332</v>
      </c>
      <c r="E79" s="76" t="n">
        <v>205.3933</v>
      </c>
    </row>
    <row r="80" customFormat="false" ht="15" hidden="false" customHeight="false" outlineLevel="0" collapsed="false">
      <c r="B80" s="30" t="s">
        <v>477</v>
      </c>
      <c r="C80" s="75" t="s">
        <v>478</v>
      </c>
      <c r="D80" s="75" t="s">
        <v>332</v>
      </c>
      <c r="E80" s="76" t="n">
        <v>287.4879</v>
      </c>
    </row>
    <row r="81" customFormat="false" ht="15" hidden="false" customHeight="false" outlineLevel="0" collapsed="false">
      <c r="B81" s="30" t="s">
        <v>479</v>
      </c>
      <c r="C81" s="75" t="s">
        <v>480</v>
      </c>
      <c r="D81" s="75" t="s">
        <v>332</v>
      </c>
      <c r="E81" s="76" t="n">
        <v>651.2982</v>
      </c>
    </row>
    <row r="82" customFormat="false" ht="15" hidden="false" customHeight="false" outlineLevel="0" collapsed="false">
      <c r="B82" s="30" t="s">
        <v>481</v>
      </c>
      <c r="C82" s="75" t="s">
        <v>482</v>
      </c>
      <c r="D82" s="75" t="s">
        <v>332</v>
      </c>
      <c r="E82" s="76" t="n">
        <v>675.0828</v>
      </c>
    </row>
    <row r="83" customFormat="false" ht="15" hidden="false" customHeight="false" outlineLevel="0" collapsed="false">
      <c r="B83" s="30" t="s">
        <v>483</v>
      </c>
      <c r="C83" s="75" t="s">
        <v>484</v>
      </c>
      <c r="D83" s="75" t="s">
        <v>332</v>
      </c>
      <c r="E83" s="76" t="n">
        <v>722.6422</v>
      </c>
    </row>
    <row r="84" customFormat="false" ht="15" hidden="false" customHeight="false" outlineLevel="0" collapsed="false">
      <c r="B84" s="30" t="s">
        <v>485</v>
      </c>
      <c r="C84" s="75" t="s">
        <v>486</v>
      </c>
      <c r="D84" s="75" t="s">
        <v>332</v>
      </c>
      <c r="E84" s="76" t="n">
        <v>788.0376</v>
      </c>
    </row>
    <row r="85" customFormat="false" ht="15" hidden="false" customHeight="false" outlineLevel="0" collapsed="false">
      <c r="B85" s="30" t="s">
        <v>487</v>
      </c>
      <c r="C85" s="75" t="s">
        <v>488</v>
      </c>
      <c r="D85" s="75" t="s">
        <v>332</v>
      </c>
      <c r="E85" s="76" t="n">
        <v>826.6839</v>
      </c>
    </row>
    <row r="86" customFormat="false" ht="15" hidden="false" customHeight="false" outlineLevel="0" collapsed="false">
      <c r="B86" s="30" t="s">
        <v>489</v>
      </c>
      <c r="C86" s="75" t="s">
        <v>490</v>
      </c>
      <c r="D86" s="75" t="s">
        <v>332</v>
      </c>
      <c r="E86" s="76" t="n">
        <v>722.6422</v>
      </c>
    </row>
    <row r="87" customFormat="false" ht="15" hidden="false" customHeight="false" outlineLevel="0" collapsed="false">
      <c r="B87" s="30" t="s">
        <v>491</v>
      </c>
      <c r="C87" s="75" t="s">
        <v>492</v>
      </c>
      <c r="D87" s="75" t="s">
        <v>332</v>
      </c>
      <c r="E87" s="76" t="n">
        <v>785.3034</v>
      </c>
    </row>
    <row r="88" customFormat="false" ht="15" hidden="false" customHeight="false" outlineLevel="0" collapsed="false">
      <c r="B88" s="30" t="s">
        <v>493</v>
      </c>
      <c r="C88" s="75" t="s">
        <v>494</v>
      </c>
      <c r="D88" s="75" t="s">
        <v>332</v>
      </c>
      <c r="E88" s="76" t="n">
        <v>862.3559</v>
      </c>
    </row>
    <row r="89" customFormat="false" ht="15" hidden="false" customHeight="false" outlineLevel="0" collapsed="false">
      <c r="B89" s="30" t="s">
        <v>495</v>
      </c>
      <c r="C89" s="75" t="s">
        <v>496</v>
      </c>
      <c r="D89" s="75" t="s">
        <v>332</v>
      </c>
      <c r="E89" s="76" t="n">
        <v>981.4994</v>
      </c>
    </row>
    <row r="90" customFormat="false" ht="15" hidden="false" customHeight="false" outlineLevel="0" collapsed="false">
      <c r="B90" s="30" t="s">
        <v>497</v>
      </c>
      <c r="C90" s="75" t="s">
        <v>498</v>
      </c>
      <c r="D90" s="75" t="s">
        <v>332</v>
      </c>
      <c r="E90" s="76" t="n">
        <v>1022.875</v>
      </c>
    </row>
    <row r="91" customFormat="false" ht="15" hidden="false" customHeight="false" outlineLevel="0" collapsed="false">
      <c r="B91" s="30" t="s">
        <v>499</v>
      </c>
      <c r="C91" s="75" t="s">
        <v>500</v>
      </c>
      <c r="D91" s="75" t="s">
        <v>332</v>
      </c>
      <c r="E91" s="76" t="n">
        <v>139.895</v>
      </c>
    </row>
    <row r="92" customFormat="false" ht="15" hidden="false" customHeight="false" outlineLevel="0" collapsed="false">
      <c r="B92" s="30" t="s">
        <v>501</v>
      </c>
      <c r="C92" s="75" t="s">
        <v>502</v>
      </c>
      <c r="D92" s="75" t="s">
        <v>332</v>
      </c>
      <c r="E92" s="76" t="n">
        <v>242.9665</v>
      </c>
    </row>
    <row r="93" customFormat="false" ht="15" hidden="false" customHeight="false" outlineLevel="0" collapsed="false">
      <c r="B93" s="30" t="s">
        <v>503</v>
      </c>
      <c r="C93" s="75" t="s">
        <v>504</v>
      </c>
      <c r="D93" s="75" t="s">
        <v>332</v>
      </c>
      <c r="E93" s="76" t="n">
        <v>78.0423</v>
      </c>
    </row>
    <row r="94" customFormat="false" ht="15" hidden="false" customHeight="false" outlineLevel="0" collapsed="false">
      <c r="B94" s="30" t="s">
        <v>505</v>
      </c>
      <c r="C94" s="75" t="s">
        <v>506</v>
      </c>
      <c r="D94" s="75" t="s">
        <v>332</v>
      </c>
      <c r="E94" s="76" t="n">
        <v>141.5365</v>
      </c>
    </row>
    <row r="95" customFormat="false" ht="15" hidden="false" customHeight="false" outlineLevel="0" collapsed="false">
      <c r="B95" s="30" t="s">
        <v>507</v>
      </c>
      <c r="C95" s="75" t="s">
        <v>508</v>
      </c>
      <c r="D95" s="75" t="s">
        <v>332</v>
      </c>
      <c r="E95" s="76" t="n">
        <v>205.0258</v>
      </c>
    </row>
    <row r="96" customFormat="false" ht="15" hidden="false" customHeight="false" outlineLevel="0" collapsed="false">
      <c r="B96" s="30" t="s">
        <v>509</v>
      </c>
      <c r="C96" s="75" t="s">
        <v>510</v>
      </c>
      <c r="D96" s="75" t="s">
        <v>332</v>
      </c>
      <c r="E96" s="76" t="n">
        <v>674.9309</v>
      </c>
    </row>
    <row r="97" customFormat="false" ht="15" hidden="false" customHeight="false" outlineLevel="0" collapsed="false">
      <c r="B97" s="30" t="s">
        <v>511</v>
      </c>
      <c r="C97" s="75" t="s">
        <v>512</v>
      </c>
      <c r="D97" s="75" t="s">
        <v>332</v>
      </c>
      <c r="E97" s="76" t="n">
        <v>697.8727</v>
      </c>
    </row>
    <row r="98" customFormat="false" ht="15" hidden="false" customHeight="false" outlineLevel="0" collapsed="false">
      <c r="B98" s="30" t="s">
        <v>513</v>
      </c>
      <c r="C98" s="75" t="s">
        <v>514</v>
      </c>
      <c r="D98" s="75" t="s">
        <v>332</v>
      </c>
      <c r="E98" s="76" t="n">
        <v>139.895</v>
      </c>
    </row>
    <row r="99" customFormat="false" ht="15" hidden="false" customHeight="false" outlineLevel="0" collapsed="false">
      <c r="B99" s="30" t="s">
        <v>515</v>
      </c>
      <c r="C99" s="75" t="s">
        <v>516</v>
      </c>
      <c r="D99" s="75" t="s">
        <v>332</v>
      </c>
      <c r="E99" s="76" t="n">
        <v>242.9665</v>
      </c>
    </row>
    <row r="100" customFormat="false" ht="15" hidden="false" customHeight="false" outlineLevel="0" collapsed="false">
      <c r="B100" s="30" t="s">
        <v>517</v>
      </c>
      <c r="C100" s="75" t="s">
        <v>518</v>
      </c>
      <c r="D100" s="75" t="s">
        <v>332</v>
      </c>
      <c r="E100" s="76" t="n">
        <v>76.0627</v>
      </c>
    </row>
    <row r="101" customFormat="false" ht="15" hidden="false" customHeight="false" outlineLevel="0" collapsed="false">
      <c r="B101" s="30" t="s">
        <v>519</v>
      </c>
      <c r="C101" s="75" t="s">
        <v>520</v>
      </c>
      <c r="D101" s="75" t="s">
        <v>332</v>
      </c>
      <c r="E101" s="76" t="n">
        <v>651.2982</v>
      </c>
    </row>
    <row r="102" customFormat="false" ht="15" hidden="false" customHeight="false" outlineLevel="0" collapsed="false">
      <c r="B102" s="30" t="s">
        <v>521</v>
      </c>
      <c r="C102" s="75" t="s">
        <v>522</v>
      </c>
      <c r="D102" s="75" t="s">
        <v>332</v>
      </c>
      <c r="E102" s="76" t="n">
        <v>552.2888</v>
      </c>
    </row>
    <row r="103" customFormat="false" ht="15" hidden="false" customHeight="false" outlineLevel="0" collapsed="false">
      <c r="B103" s="30" t="s">
        <v>523</v>
      </c>
      <c r="C103" s="75" t="s">
        <v>524</v>
      </c>
      <c r="D103" s="75" t="s">
        <v>332</v>
      </c>
      <c r="E103" s="76" t="n">
        <v>43.3013</v>
      </c>
    </row>
    <row r="104" customFormat="false" ht="15" hidden="false" customHeight="false" outlineLevel="0" collapsed="false">
      <c r="B104" s="30" t="s">
        <v>525</v>
      </c>
      <c r="C104" s="75" t="s">
        <v>526</v>
      </c>
      <c r="D104" s="75" t="s">
        <v>332</v>
      </c>
      <c r="E104" s="76" t="n">
        <v>286.8901</v>
      </c>
    </row>
    <row r="105" customFormat="false" ht="15" hidden="false" customHeight="false" outlineLevel="0" collapsed="false">
      <c r="B105" s="30" t="s">
        <v>527</v>
      </c>
      <c r="C105" s="75" t="s">
        <v>528</v>
      </c>
      <c r="D105" s="75" t="s">
        <v>332</v>
      </c>
      <c r="E105" s="76" t="n">
        <v>107.6089</v>
      </c>
    </row>
    <row r="106" customFormat="false" ht="15" hidden="false" customHeight="false" outlineLevel="0" collapsed="false">
      <c r="B106" s="30" t="s">
        <v>529</v>
      </c>
      <c r="C106" s="75" t="s">
        <v>530</v>
      </c>
      <c r="D106" s="75" t="s">
        <v>332</v>
      </c>
      <c r="E106" s="76" t="n">
        <v>139.895</v>
      </c>
    </row>
    <row r="107" customFormat="false" ht="15" hidden="false" customHeight="false" outlineLevel="0" collapsed="false">
      <c r="B107" s="30" t="s">
        <v>531</v>
      </c>
      <c r="C107" s="75" t="s">
        <v>532</v>
      </c>
      <c r="D107" s="75" t="s">
        <v>332</v>
      </c>
      <c r="E107" s="76" t="n">
        <v>242.9665</v>
      </c>
    </row>
    <row r="108" customFormat="false" ht="15" hidden="false" customHeight="false" outlineLevel="0" collapsed="false">
      <c r="B108" s="30" t="s">
        <v>533</v>
      </c>
      <c r="C108" s="75" t="s">
        <v>534</v>
      </c>
      <c r="D108" s="75" t="s">
        <v>332</v>
      </c>
      <c r="E108" s="76" t="n">
        <v>68.796</v>
      </c>
    </row>
    <row r="109" customFormat="false" ht="15" hidden="false" customHeight="false" outlineLevel="0" collapsed="false">
      <c r="B109" s="3" t="s">
        <v>535</v>
      </c>
      <c r="C109" s="3"/>
      <c r="D109" s="3"/>
      <c r="E109" s="3"/>
    </row>
    <row r="110" customFormat="false" ht="15" hidden="false" customHeight="false" outlineLevel="0" collapsed="false">
      <c r="B110" s="30" t="s">
        <v>536</v>
      </c>
      <c r="C110" s="75" t="s">
        <v>537</v>
      </c>
      <c r="D110" s="75" t="s">
        <v>332</v>
      </c>
      <c r="E110" s="76" t="n">
        <v>301.4725</v>
      </c>
    </row>
    <row r="111" customFormat="false" ht="15" hidden="false" customHeight="false" outlineLevel="0" collapsed="false">
      <c r="B111" s="30" t="s">
        <v>538</v>
      </c>
      <c r="C111" s="75" t="s">
        <v>539</v>
      </c>
      <c r="D111" s="75" t="s">
        <v>332</v>
      </c>
      <c r="E111" s="76" t="n">
        <v>193.795</v>
      </c>
    </row>
    <row r="112" customFormat="false" ht="15" hidden="false" customHeight="false" outlineLevel="0" collapsed="false">
      <c r="B112" s="30" t="s">
        <v>540</v>
      </c>
      <c r="C112" s="75" t="s">
        <v>541</v>
      </c>
      <c r="D112" s="75" t="s">
        <v>332</v>
      </c>
      <c r="E112" s="76" t="n">
        <v>10.5595</v>
      </c>
    </row>
    <row r="113" customFormat="false" ht="15" hidden="false" customHeight="false" outlineLevel="0" collapsed="false">
      <c r="B113" s="30" t="s">
        <v>542</v>
      </c>
      <c r="C113" s="75" t="s">
        <v>543</v>
      </c>
      <c r="D113" s="75" t="s">
        <v>332</v>
      </c>
      <c r="E113" s="76" t="n">
        <v>404.495</v>
      </c>
    </row>
    <row r="114" customFormat="false" ht="15" hidden="false" customHeight="false" outlineLevel="0" collapsed="false">
      <c r="B114" s="30" t="s">
        <v>544</v>
      </c>
      <c r="C114" s="75" t="s">
        <v>545</v>
      </c>
      <c r="D114" s="75" t="s">
        <v>332</v>
      </c>
      <c r="E114" s="76" t="n">
        <v>330.995</v>
      </c>
    </row>
    <row r="115" customFormat="false" ht="15" hidden="false" customHeight="false" outlineLevel="0" collapsed="false">
      <c r="B115" s="30" t="s">
        <v>439</v>
      </c>
      <c r="C115" s="75" t="s">
        <v>440</v>
      </c>
      <c r="D115" s="75" t="s">
        <v>332</v>
      </c>
      <c r="E115" s="76" t="n">
        <v>67.7425</v>
      </c>
    </row>
    <row r="116" customFormat="false" ht="15" hidden="false" customHeight="false" outlineLevel="0" collapsed="false">
      <c r="B116" s="30" t="s">
        <v>441</v>
      </c>
      <c r="C116" s="75" t="s">
        <v>442</v>
      </c>
      <c r="D116" s="75" t="s">
        <v>332</v>
      </c>
      <c r="E116" s="76" t="n">
        <v>118.6976</v>
      </c>
    </row>
    <row r="117" customFormat="false" ht="15" hidden="false" customHeight="false" outlineLevel="0" collapsed="false">
      <c r="B117" s="30" t="s">
        <v>443</v>
      </c>
      <c r="C117" s="75" t="s">
        <v>444</v>
      </c>
      <c r="D117" s="75" t="s">
        <v>332</v>
      </c>
      <c r="E117" s="76" t="n">
        <v>313.3697</v>
      </c>
    </row>
    <row r="118" customFormat="false" ht="15" hidden="false" customHeight="false" outlineLevel="0" collapsed="false">
      <c r="B118" s="30" t="s">
        <v>445</v>
      </c>
      <c r="C118" s="75" t="s">
        <v>446</v>
      </c>
      <c r="D118" s="75" t="s">
        <v>332</v>
      </c>
      <c r="E118" s="76" t="n">
        <v>104.0025</v>
      </c>
    </row>
    <row r="119" customFormat="false" ht="15" hidden="false" customHeight="false" outlineLevel="0" collapsed="false">
      <c r="B119" s="30" t="s">
        <v>445</v>
      </c>
      <c r="C119" s="75" t="s">
        <v>447</v>
      </c>
      <c r="D119" s="75" t="s">
        <v>332</v>
      </c>
      <c r="E119" s="76" t="n">
        <v>81.095</v>
      </c>
    </row>
    <row r="120" customFormat="false" ht="15" hidden="false" customHeight="false" outlineLevel="0" collapsed="false">
      <c r="B120" s="30" t="s">
        <v>546</v>
      </c>
      <c r="C120" s="75" t="s">
        <v>547</v>
      </c>
      <c r="D120" s="75" t="s">
        <v>332</v>
      </c>
      <c r="E120" s="76" t="n">
        <v>355.495</v>
      </c>
    </row>
    <row r="121" customFormat="false" ht="15" hidden="false" customHeight="false" outlineLevel="0" collapsed="false">
      <c r="B121" s="30" t="s">
        <v>548</v>
      </c>
      <c r="C121" s="75" t="s">
        <v>549</v>
      </c>
      <c r="D121" s="75" t="s">
        <v>332</v>
      </c>
      <c r="E121" s="76" t="n">
        <v>338.051</v>
      </c>
    </row>
    <row r="122" customFormat="false" ht="15" hidden="false" customHeight="false" outlineLevel="0" collapsed="false">
      <c r="B122" s="30" t="s">
        <v>550</v>
      </c>
      <c r="C122" s="75" t="s">
        <v>551</v>
      </c>
      <c r="D122" s="75" t="s">
        <v>332</v>
      </c>
      <c r="E122" s="76" t="n">
        <v>110.495</v>
      </c>
    </row>
    <row r="123" customFormat="false" ht="15" hidden="false" customHeight="false" outlineLevel="0" collapsed="false">
      <c r="B123" s="30" t="s">
        <v>552</v>
      </c>
      <c r="C123" s="75" t="s">
        <v>553</v>
      </c>
      <c r="D123" s="75" t="s">
        <v>332</v>
      </c>
      <c r="E123" s="76" t="n">
        <v>81.095</v>
      </c>
    </row>
    <row r="124" customFormat="false" ht="15" hidden="false" customHeight="false" outlineLevel="0" collapsed="false">
      <c r="B124" s="30" t="s">
        <v>554</v>
      </c>
      <c r="C124" s="75" t="s">
        <v>555</v>
      </c>
      <c r="D124" s="75" t="s">
        <v>332</v>
      </c>
      <c r="E124" s="76" t="n">
        <v>291.648</v>
      </c>
    </row>
    <row r="125" customFormat="false" ht="15" hidden="false" customHeight="false" outlineLevel="0" collapsed="false">
      <c r="B125" s="3" t="s">
        <v>556</v>
      </c>
      <c r="C125" s="3"/>
      <c r="D125" s="3"/>
      <c r="E125" s="3"/>
    </row>
    <row r="126" customFormat="false" ht="15" hidden="false" customHeight="false" outlineLevel="0" collapsed="false">
      <c r="B126" s="30" t="s">
        <v>557</v>
      </c>
      <c r="C126" s="75" t="s">
        <v>558</v>
      </c>
      <c r="D126" s="75" t="s">
        <v>332</v>
      </c>
      <c r="E126" s="76" t="n">
        <v>390.0057</v>
      </c>
    </row>
    <row r="127" customFormat="false" ht="15" hidden="false" customHeight="false" outlineLevel="0" collapsed="false">
      <c r="B127" s="30" t="s">
        <v>559</v>
      </c>
      <c r="C127" s="75" t="s">
        <v>560</v>
      </c>
      <c r="D127" s="75" t="s">
        <v>332</v>
      </c>
      <c r="E127" s="76" t="n">
        <v>423.4041</v>
      </c>
    </row>
    <row r="128" customFormat="false" ht="15" hidden="false" customHeight="false" outlineLevel="0" collapsed="false">
      <c r="B128" s="30" t="s">
        <v>561</v>
      </c>
      <c r="C128" s="75" t="s">
        <v>562</v>
      </c>
      <c r="D128" s="75" t="s">
        <v>332</v>
      </c>
      <c r="E128" s="76" t="n">
        <v>432.2584</v>
      </c>
    </row>
    <row r="129" customFormat="false" ht="15" hidden="false" customHeight="false" outlineLevel="0" collapsed="false">
      <c r="B129" s="30" t="s">
        <v>563</v>
      </c>
      <c r="C129" s="75" t="s">
        <v>564</v>
      </c>
      <c r="D129" s="75" t="s">
        <v>332</v>
      </c>
      <c r="E129" s="76" t="n">
        <v>460.5608</v>
      </c>
    </row>
    <row r="130" customFormat="false" ht="15" hidden="false" customHeight="false" outlineLevel="0" collapsed="false">
      <c r="B130" s="30" t="s">
        <v>565</v>
      </c>
      <c r="C130" s="75" t="s">
        <v>566</v>
      </c>
      <c r="D130" s="75" t="s">
        <v>332</v>
      </c>
      <c r="E130" s="76" t="n">
        <v>493.9886</v>
      </c>
    </row>
    <row r="131" customFormat="false" ht="15" hidden="false" customHeight="false" outlineLevel="0" collapsed="false">
      <c r="B131" s="30" t="s">
        <v>567</v>
      </c>
      <c r="C131" s="75" t="s">
        <v>568</v>
      </c>
      <c r="D131" s="75" t="s">
        <v>332</v>
      </c>
      <c r="E131" s="76" t="n">
        <v>650.9503</v>
      </c>
    </row>
    <row r="132" customFormat="false" ht="15" hidden="false" customHeight="false" outlineLevel="0" collapsed="false">
      <c r="B132" s="30" t="s">
        <v>569</v>
      </c>
      <c r="C132" s="75" t="s">
        <v>570</v>
      </c>
      <c r="D132" s="75" t="s">
        <v>332</v>
      </c>
      <c r="E132" s="76" t="n">
        <v>798.1806</v>
      </c>
    </row>
    <row r="133" customFormat="false" ht="15" hidden="false" customHeight="false" outlineLevel="0" collapsed="false">
      <c r="B133" s="30" t="s">
        <v>571</v>
      </c>
      <c r="C133" s="75" t="s">
        <v>572</v>
      </c>
      <c r="D133" s="75" t="s">
        <v>332</v>
      </c>
      <c r="E133" s="76" t="n">
        <v>811.8467</v>
      </c>
    </row>
    <row r="134" customFormat="false" ht="15" hidden="false" customHeight="false" outlineLevel="0" collapsed="false">
      <c r="B134" s="30" t="s">
        <v>573</v>
      </c>
      <c r="C134" s="75" t="s">
        <v>574</v>
      </c>
      <c r="D134" s="75" t="s">
        <v>332</v>
      </c>
      <c r="E134" s="76" t="n">
        <v>863.6152</v>
      </c>
    </row>
    <row r="135" customFormat="false" ht="15" hidden="false" customHeight="false" outlineLevel="0" collapsed="false">
      <c r="B135" s="30" t="s">
        <v>575</v>
      </c>
      <c r="C135" s="75" t="s">
        <v>576</v>
      </c>
      <c r="D135" s="75" t="s">
        <v>332</v>
      </c>
      <c r="E135" s="76" t="n">
        <v>977.6431</v>
      </c>
    </row>
    <row r="136" customFormat="false" ht="15" hidden="false" customHeight="false" outlineLevel="0" collapsed="false">
      <c r="B136" s="30" t="s">
        <v>577</v>
      </c>
      <c r="C136" s="75" t="s">
        <v>578</v>
      </c>
      <c r="D136" s="75" t="s">
        <v>332</v>
      </c>
      <c r="E136" s="76" t="n">
        <v>139.895</v>
      </c>
    </row>
    <row r="137" customFormat="false" ht="15" hidden="false" customHeight="false" outlineLevel="0" collapsed="false">
      <c r="B137" s="30" t="s">
        <v>579</v>
      </c>
      <c r="C137" s="75" t="s">
        <v>580</v>
      </c>
      <c r="D137" s="75" t="s">
        <v>332</v>
      </c>
      <c r="E137" s="76" t="n">
        <v>240.5361</v>
      </c>
    </row>
    <row r="138" customFormat="false" ht="15" hidden="false" customHeight="false" outlineLevel="0" collapsed="false">
      <c r="B138" s="30" t="s">
        <v>581</v>
      </c>
      <c r="C138" s="75" t="s">
        <v>582</v>
      </c>
      <c r="D138" s="75" t="s">
        <v>332</v>
      </c>
      <c r="E138" s="76" t="n">
        <v>75.9157</v>
      </c>
    </row>
    <row r="139" customFormat="false" ht="15" hidden="false" customHeight="false" outlineLevel="0" collapsed="false">
      <c r="B139" s="30" t="s">
        <v>583</v>
      </c>
      <c r="C139" s="75" t="s">
        <v>584</v>
      </c>
      <c r="D139" s="75" t="s">
        <v>332</v>
      </c>
      <c r="E139" s="76" t="n">
        <v>166.9822</v>
      </c>
    </row>
    <row r="140" customFormat="false" ht="15" hidden="false" customHeight="false" outlineLevel="0" collapsed="false">
      <c r="B140" s="30" t="s">
        <v>585</v>
      </c>
      <c r="C140" s="75" t="s">
        <v>586</v>
      </c>
      <c r="D140" s="75" t="s">
        <v>332</v>
      </c>
      <c r="E140" s="76" t="n">
        <v>255.4566</v>
      </c>
    </row>
    <row r="141" customFormat="false" ht="15" hidden="false" customHeight="false" outlineLevel="0" collapsed="false">
      <c r="B141" s="3" t="s">
        <v>587</v>
      </c>
      <c r="C141" s="3"/>
      <c r="D141" s="3"/>
      <c r="E141" s="3"/>
    </row>
    <row r="142" customFormat="false" ht="15" hidden="false" customHeight="false" outlineLevel="0" collapsed="false">
      <c r="B142" s="30" t="s">
        <v>588</v>
      </c>
      <c r="C142" s="75" t="s">
        <v>589</v>
      </c>
      <c r="D142" s="75" t="s">
        <v>332</v>
      </c>
      <c r="E142" s="76" t="n">
        <v>596.7906</v>
      </c>
    </row>
    <row r="143" customFormat="false" ht="15" hidden="false" customHeight="false" outlineLevel="0" collapsed="false">
      <c r="B143" s="30" t="s">
        <v>590</v>
      </c>
      <c r="C143" s="75" t="s">
        <v>591</v>
      </c>
      <c r="D143" s="75" t="s">
        <v>332</v>
      </c>
      <c r="E143" s="76" t="n">
        <v>1119.552</v>
      </c>
    </row>
    <row r="144" customFormat="false" ht="15" hidden="false" customHeight="false" outlineLevel="0" collapsed="false">
      <c r="B144" s="30" t="s">
        <v>592</v>
      </c>
      <c r="C144" s="75" t="s">
        <v>593</v>
      </c>
      <c r="D144" s="75" t="s">
        <v>332</v>
      </c>
      <c r="E144" s="76" t="n">
        <v>1173.109</v>
      </c>
    </row>
    <row r="145" customFormat="false" ht="15" hidden="false" customHeight="false" outlineLevel="0" collapsed="false">
      <c r="B145" s="30" t="s">
        <v>594</v>
      </c>
      <c r="C145" s="75" t="s">
        <v>595</v>
      </c>
      <c r="D145" s="75" t="s">
        <v>332</v>
      </c>
      <c r="E145" s="76" t="n">
        <v>1177.7444</v>
      </c>
    </row>
    <row r="146" customFormat="false" ht="15" hidden="false" customHeight="false" outlineLevel="0" collapsed="false">
      <c r="B146" s="30" t="s">
        <v>596</v>
      </c>
      <c r="C146" s="75" t="s">
        <v>597</v>
      </c>
      <c r="D146" s="75" t="s">
        <v>332</v>
      </c>
      <c r="E146" s="76" t="n">
        <v>1240.1949</v>
      </c>
    </row>
    <row r="147" customFormat="false" ht="15" hidden="false" customHeight="false" outlineLevel="0" collapsed="false">
      <c r="B147" s="30" t="s">
        <v>598</v>
      </c>
      <c r="C147" s="75" t="s">
        <v>599</v>
      </c>
      <c r="D147" s="75" t="s">
        <v>332</v>
      </c>
      <c r="E147" s="76" t="n">
        <v>768.2612</v>
      </c>
    </row>
    <row r="148" customFormat="false" ht="15" hidden="false" customHeight="false" outlineLevel="0" collapsed="false">
      <c r="B148" s="30" t="s">
        <v>600</v>
      </c>
      <c r="C148" s="75" t="s">
        <v>601</v>
      </c>
      <c r="D148" s="75" t="s">
        <v>332</v>
      </c>
      <c r="E148" s="76" t="n">
        <v>1387.3517</v>
      </c>
    </row>
    <row r="149" customFormat="false" ht="15" hidden="false" customHeight="false" outlineLevel="0" collapsed="false">
      <c r="B149" s="30" t="s">
        <v>602</v>
      </c>
      <c r="C149" s="75" t="s">
        <v>603</v>
      </c>
      <c r="D149" s="75" t="s">
        <v>332</v>
      </c>
      <c r="E149" s="76" t="n">
        <v>1400.8757</v>
      </c>
    </row>
    <row r="150" customFormat="false" ht="15" hidden="false" customHeight="false" outlineLevel="0" collapsed="false">
      <c r="B150" s="30" t="s">
        <v>604</v>
      </c>
      <c r="C150" s="75" t="s">
        <v>605</v>
      </c>
      <c r="D150" s="75" t="s">
        <v>332</v>
      </c>
      <c r="E150" s="76" t="n">
        <v>1387.4889</v>
      </c>
    </row>
    <row r="151" customFormat="false" ht="15" hidden="false" customHeight="false" outlineLevel="0" collapsed="false">
      <c r="B151" s="30" t="s">
        <v>606</v>
      </c>
      <c r="C151" s="75" t="s">
        <v>607</v>
      </c>
      <c r="D151" s="75" t="s">
        <v>332</v>
      </c>
      <c r="E151" s="76" t="n">
        <v>1438.101</v>
      </c>
    </row>
    <row r="152" customFormat="false" ht="15" hidden="false" customHeight="false" outlineLevel="0" collapsed="false">
      <c r="B152" s="30" t="s">
        <v>608</v>
      </c>
      <c r="C152" s="75" t="s">
        <v>609</v>
      </c>
      <c r="D152" s="75" t="s">
        <v>332</v>
      </c>
      <c r="E152" s="76" t="n">
        <v>893.7355</v>
      </c>
    </row>
    <row r="153" customFormat="false" ht="15" hidden="false" customHeight="false" outlineLevel="0" collapsed="false">
      <c r="B153" s="30" t="s">
        <v>610</v>
      </c>
      <c r="C153" s="75" t="s">
        <v>611</v>
      </c>
      <c r="D153" s="75" t="s">
        <v>332</v>
      </c>
      <c r="E153" s="76" t="n">
        <v>1227.793</v>
      </c>
    </row>
    <row r="154" customFormat="false" ht="15" hidden="false" customHeight="false" outlineLevel="0" collapsed="false">
      <c r="B154" s="30" t="s">
        <v>612</v>
      </c>
      <c r="C154" s="75" t="s">
        <v>613</v>
      </c>
      <c r="D154" s="75" t="s">
        <v>332</v>
      </c>
      <c r="E154" s="76" t="n">
        <v>1346.9659</v>
      </c>
    </row>
    <row r="155" customFormat="false" ht="15" hidden="false" customHeight="false" outlineLevel="0" collapsed="false">
      <c r="B155" s="30" t="s">
        <v>614</v>
      </c>
      <c r="C155" s="75" t="s">
        <v>615</v>
      </c>
      <c r="D155" s="75" t="s">
        <v>332</v>
      </c>
      <c r="E155" s="76" t="n">
        <v>1511.2972</v>
      </c>
    </row>
    <row r="156" customFormat="false" ht="15" hidden="false" customHeight="false" outlineLevel="0" collapsed="false">
      <c r="B156" s="30" t="s">
        <v>616</v>
      </c>
      <c r="C156" s="75" t="s">
        <v>617</v>
      </c>
      <c r="D156" s="75" t="s">
        <v>332</v>
      </c>
      <c r="E156" s="76" t="n">
        <v>1569.1172</v>
      </c>
    </row>
    <row r="157" customFormat="false" ht="15" hidden="false" customHeight="false" outlineLevel="0" collapsed="false">
      <c r="B157" s="30" t="s">
        <v>618</v>
      </c>
      <c r="C157" s="75" t="s">
        <v>619</v>
      </c>
      <c r="D157" s="75" t="s">
        <v>332</v>
      </c>
      <c r="E157" s="76" t="n">
        <v>1061.8692</v>
      </c>
    </row>
    <row r="158" customFormat="false" ht="15" hidden="false" customHeight="false" outlineLevel="0" collapsed="false">
      <c r="B158" s="30" t="s">
        <v>620</v>
      </c>
      <c r="C158" s="75" t="s">
        <v>621</v>
      </c>
      <c r="D158" s="75" t="s">
        <v>332</v>
      </c>
      <c r="E158" s="76" t="n">
        <v>1331.4084</v>
      </c>
    </row>
    <row r="159" customFormat="false" ht="15" hidden="false" customHeight="false" outlineLevel="0" collapsed="false">
      <c r="B159" s="30" t="s">
        <v>622</v>
      </c>
      <c r="C159" s="75" t="s">
        <v>623</v>
      </c>
      <c r="D159" s="75" t="s">
        <v>332</v>
      </c>
      <c r="E159" s="76" t="n">
        <v>1609.5226</v>
      </c>
    </row>
    <row r="160" customFormat="false" ht="15" hidden="false" customHeight="false" outlineLevel="0" collapsed="false">
      <c r="B160" s="30" t="s">
        <v>624</v>
      </c>
      <c r="C160" s="75" t="s">
        <v>625</v>
      </c>
      <c r="D160" s="75" t="s">
        <v>332</v>
      </c>
      <c r="E160" s="76" t="n">
        <v>1679.3868</v>
      </c>
    </row>
    <row r="161" customFormat="false" ht="15" hidden="false" customHeight="false" outlineLevel="0" collapsed="false">
      <c r="B161" s="30" t="s">
        <v>626</v>
      </c>
      <c r="C161" s="75" t="s">
        <v>627</v>
      </c>
      <c r="D161" s="75" t="s">
        <v>332</v>
      </c>
      <c r="E161" s="76" t="n">
        <v>1740.8279</v>
      </c>
    </row>
    <row r="162" customFormat="false" ht="15" hidden="false" customHeight="false" outlineLevel="0" collapsed="false">
      <c r="B162" s="30" t="s">
        <v>628</v>
      </c>
      <c r="C162" s="75" t="s">
        <v>629</v>
      </c>
      <c r="D162" s="75" t="s">
        <v>332</v>
      </c>
      <c r="E162" s="76" t="n">
        <v>337.3895</v>
      </c>
    </row>
    <row r="163" customFormat="false" ht="15" hidden="false" customHeight="false" outlineLevel="0" collapsed="false">
      <c r="B163" s="30" t="s">
        <v>630</v>
      </c>
      <c r="C163" s="75" t="s">
        <v>631</v>
      </c>
      <c r="D163" s="75" t="s">
        <v>332</v>
      </c>
      <c r="E163" s="76" t="n">
        <v>395.5035</v>
      </c>
    </row>
    <row r="164" customFormat="false" ht="15" hidden="false" customHeight="false" outlineLevel="0" collapsed="false">
      <c r="B164" s="30" t="s">
        <v>632</v>
      </c>
      <c r="C164" s="75" t="s">
        <v>633</v>
      </c>
      <c r="D164" s="75" t="s">
        <v>332</v>
      </c>
      <c r="E164" s="76" t="n">
        <v>385.8995</v>
      </c>
    </row>
    <row r="165" customFormat="false" ht="15" hidden="false" customHeight="false" outlineLevel="0" collapsed="false">
      <c r="B165" s="30" t="s">
        <v>634</v>
      </c>
      <c r="C165" s="75" t="s">
        <v>635</v>
      </c>
      <c r="D165" s="75" t="s">
        <v>332</v>
      </c>
      <c r="E165" s="76" t="n">
        <v>482.9146</v>
      </c>
    </row>
    <row r="166" customFormat="false" ht="15" hidden="false" customHeight="false" outlineLevel="0" collapsed="false">
      <c r="B166" s="30" t="s">
        <v>636</v>
      </c>
      <c r="C166" s="75" t="s">
        <v>637</v>
      </c>
      <c r="D166" s="75" t="s">
        <v>332</v>
      </c>
      <c r="E166" s="76" t="n">
        <v>139.895</v>
      </c>
    </row>
    <row r="167" customFormat="false" ht="15" hidden="false" customHeight="false" outlineLevel="0" collapsed="false">
      <c r="B167" s="30" t="s">
        <v>638</v>
      </c>
      <c r="C167" s="75" t="s">
        <v>639</v>
      </c>
      <c r="D167" s="75" t="s">
        <v>332</v>
      </c>
      <c r="E167" s="76" t="n">
        <v>240.5361</v>
      </c>
    </row>
    <row r="168" customFormat="false" ht="15" hidden="false" customHeight="false" outlineLevel="0" collapsed="false">
      <c r="B168" s="30" t="s">
        <v>640</v>
      </c>
      <c r="C168" s="75" t="s">
        <v>641</v>
      </c>
      <c r="D168" s="75" t="s">
        <v>332</v>
      </c>
      <c r="E168" s="76" t="n">
        <v>143.7072</v>
      </c>
    </row>
    <row r="169" customFormat="false" ht="15" hidden="false" customHeight="false" outlineLevel="0" collapsed="false">
      <c r="B169" s="30" t="s">
        <v>642</v>
      </c>
      <c r="C169" s="75" t="s">
        <v>643</v>
      </c>
      <c r="D169" s="75" t="s">
        <v>332</v>
      </c>
      <c r="E169" s="76" t="n">
        <v>234.7639</v>
      </c>
    </row>
    <row r="170" customFormat="false" ht="15" hidden="false" customHeight="false" outlineLevel="0" collapsed="false">
      <c r="B170" s="30" t="s">
        <v>644</v>
      </c>
      <c r="C170" s="75" t="s">
        <v>645</v>
      </c>
      <c r="D170" s="75" t="s">
        <v>332</v>
      </c>
      <c r="E170" s="76" t="n">
        <v>325.8206</v>
      </c>
    </row>
    <row r="171" customFormat="false" ht="15" hidden="false" customHeight="false" outlineLevel="0" collapsed="false">
      <c r="B171" s="30" t="s">
        <v>646</v>
      </c>
      <c r="C171" s="75" t="s">
        <v>647</v>
      </c>
      <c r="D171" s="75" t="s">
        <v>332</v>
      </c>
      <c r="E171" s="76" t="n">
        <v>139.895</v>
      </c>
    </row>
    <row r="172" customFormat="false" ht="15" hidden="false" customHeight="false" outlineLevel="0" collapsed="false">
      <c r="B172" s="30" t="s">
        <v>648</v>
      </c>
      <c r="C172" s="75" t="s">
        <v>649</v>
      </c>
      <c r="D172" s="75" t="s">
        <v>332</v>
      </c>
      <c r="E172" s="76" t="n">
        <v>242.9665</v>
      </c>
    </row>
    <row r="173" customFormat="false" ht="15" hidden="false" customHeight="false" outlineLevel="0" collapsed="false">
      <c r="B173" s="30" t="s">
        <v>650</v>
      </c>
      <c r="C173" s="75" t="s">
        <v>651</v>
      </c>
      <c r="D173" s="75" t="s">
        <v>332</v>
      </c>
      <c r="E173" s="76" t="n">
        <v>143.7072</v>
      </c>
    </row>
    <row r="174" customFormat="false" ht="15" hidden="false" customHeight="false" outlineLevel="0" collapsed="false">
      <c r="B174" s="30" t="s">
        <v>652</v>
      </c>
      <c r="C174" s="75" t="s">
        <v>653</v>
      </c>
      <c r="D174" s="75" t="s">
        <v>332</v>
      </c>
      <c r="E174" s="76" t="n">
        <v>234.7639</v>
      </c>
    </row>
    <row r="175" customFormat="false" ht="15" hidden="false" customHeight="false" outlineLevel="0" collapsed="false">
      <c r="B175" s="30" t="s">
        <v>654</v>
      </c>
      <c r="C175" s="75" t="s">
        <v>655</v>
      </c>
      <c r="D175" s="75" t="s">
        <v>332</v>
      </c>
      <c r="E175" s="76" t="n">
        <v>325.8206</v>
      </c>
    </row>
    <row r="176" customFormat="false" ht="15" hidden="false" customHeight="false" outlineLevel="0" collapsed="false">
      <c r="B176" s="30" t="s">
        <v>656</v>
      </c>
      <c r="C176" s="75" t="s">
        <v>657</v>
      </c>
      <c r="D176" s="75" t="s">
        <v>332</v>
      </c>
      <c r="E176" s="76" t="n">
        <v>144.55</v>
      </c>
    </row>
    <row r="177" customFormat="false" ht="15" hidden="false" customHeight="false" outlineLevel="0" collapsed="false">
      <c r="B177" s="30" t="s">
        <v>658</v>
      </c>
      <c r="C177" s="75" t="s">
        <v>659</v>
      </c>
      <c r="D177" s="75" t="s">
        <v>332</v>
      </c>
      <c r="E177" s="76" t="n">
        <v>237.895</v>
      </c>
    </row>
    <row r="178" customFormat="false" ht="15" hidden="false" customHeight="false" outlineLevel="0" collapsed="false">
      <c r="B178" s="3" t="s">
        <v>660</v>
      </c>
      <c r="C178" s="3"/>
      <c r="D178" s="3"/>
      <c r="E178" s="3"/>
    </row>
    <row r="179" customFormat="false" ht="15" hidden="false" customHeight="false" outlineLevel="0" collapsed="false">
      <c r="B179" s="30" t="s">
        <v>661</v>
      </c>
      <c r="C179" s="75" t="s">
        <v>662</v>
      </c>
      <c r="D179" s="75" t="s">
        <v>332</v>
      </c>
      <c r="E179" s="76" t="n">
        <v>770.2065</v>
      </c>
    </row>
    <row r="180" customFormat="false" ht="15" hidden="false" customHeight="false" outlineLevel="0" collapsed="false">
      <c r="B180" s="30" t="s">
        <v>663</v>
      </c>
      <c r="C180" s="75" t="s">
        <v>664</v>
      </c>
      <c r="D180" s="75" t="s">
        <v>332</v>
      </c>
      <c r="E180" s="76" t="n">
        <v>1278.4345</v>
      </c>
    </row>
    <row r="181" customFormat="false" ht="15" hidden="false" customHeight="false" outlineLevel="0" collapsed="false">
      <c r="B181" s="30" t="s">
        <v>665</v>
      </c>
      <c r="C181" s="75" t="s">
        <v>666</v>
      </c>
      <c r="D181" s="75" t="s">
        <v>332</v>
      </c>
      <c r="E181" s="76" t="n">
        <v>1257.536</v>
      </c>
    </row>
    <row r="182" customFormat="false" ht="15" hidden="false" customHeight="false" outlineLevel="0" collapsed="false">
      <c r="B182" s="30" t="s">
        <v>667</v>
      </c>
      <c r="C182" s="75" t="s">
        <v>668</v>
      </c>
      <c r="D182" s="75" t="s">
        <v>332</v>
      </c>
      <c r="E182" s="76" t="n">
        <v>1305.2767</v>
      </c>
    </row>
    <row r="183" customFormat="false" ht="15" hidden="false" customHeight="false" outlineLevel="0" collapsed="false">
      <c r="B183" s="30" t="s">
        <v>669</v>
      </c>
      <c r="C183" s="75" t="s">
        <v>670</v>
      </c>
      <c r="D183" s="75" t="s">
        <v>332</v>
      </c>
      <c r="E183" s="76" t="n">
        <v>1317.1641</v>
      </c>
    </row>
    <row r="184" customFormat="false" ht="15" hidden="false" customHeight="false" outlineLevel="0" collapsed="false">
      <c r="B184" s="30" t="s">
        <v>671</v>
      </c>
      <c r="C184" s="75" t="s">
        <v>672</v>
      </c>
      <c r="D184" s="75" t="s">
        <v>332</v>
      </c>
      <c r="E184" s="76" t="n">
        <v>964.516</v>
      </c>
    </row>
    <row r="185" customFormat="false" ht="15" hidden="false" customHeight="false" outlineLevel="0" collapsed="false">
      <c r="B185" s="30" t="s">
        <v>673</v>
      </c>
      <c r="C185" s="75" t="s">
        <v>674</v>
      </c>
      <c r="D185" s="75" t="s">
        <v>332</v>
      </c>
      <c r="E185" s="76" t="n">
        <v>1302.3024</v>
      </c>
    </row>
    <row r="186" customFormat="false" ht="15" hidden="false" customHeight="false" outlineLevel="0" collapsed="false">
      <c r="B186" s="30" t="s">
        <v>675</v>
      </c>
      <c r="C186" s="75" t="s">
        <v>676</v>
      </c>
      <c r="D186" s="75" t="s">
        <v>332</v>
      </c>
      <c r="E186" s="76" t="n">
        <v>1364.7284</v>
      </c>
    </row>
    <row r="187" customFormat="false" ht="15" hidden="false" customHeight="false" outlineLevel="0" collapsed="false">
      <c r="B187" s="30" t="s">
        <v>677</v>
      </c>
      <c r="C187" s="75" t="s">
        <v>678</v>
      </c>
      <c r="D187" s="75" t="s">
        <v>332</v>
      </c>
      <c r="E187" s="76" t="n">
        <v>1376.4394</v>
      </c>
    </row>
    <row r="188" customFormat="false" ht="15" hidden="false" customHeight="false" outlineLevel="0" collapsed="false">
      <c r="B188" s="30" t="s">
        <v>679</v>
      </c>
      <c r="C188" s="75" t="s">
        <v>680</v>
      </c>
      <c r="D188" s="75" t="s">
        <v>332</v>
      </c>
      <c r="E188" s="76" t="n">
        <v>1456.8827</v>
      </c>
    </row>
    <row r="189" customFormat="false" ht="15" hidden="false" customHeight="false" outlineLevel="0" collapsed="false">
      <c r="B189" s="30" t="s">
        <v>681</v>
      </c>
      <c r="C189" s="75" t="s">
        <v>682</v>
      </c>
      <c r="D189" s="75" t="s">
        <v>332</v>
      </c>
      <c r="E189" s="76" t="n">
        <v>1079.2054</v>
      </c>
    </row>
    <row r="190" customFormat="false" ht="15" hidden="false" customHeight="false" outlineLevel="0" collapsed="false">
      <c r="B190" s="30" t="s">
        <v>683</v>
      </c>
      <c r="C190" s="75" t="s">
        <v>684</v>
      </c>
      <c r="D190" s="75" t="s">
        <v>332</v>
      </c>
      <c r="E190" s="76" t="n">
        <v>1474.5668</v>
      </c>
    </row>
    <row r="191" customFormat="false" ht="15" hidden="false" customHeight="false" outlineLevel="0" collapsed="false">
      <c r="B191" s="30" t="s">
        <v>685</v>
      </c>
      <c r="C191" s="75" t="s">
        <v>686</v>
      </c>
      <c r="D191" s="75" t="s">
        <v>332</v>
      </c>
      <c r="E191" s="76" t="n">
        <v>1534.3125</v>
      </c>
    </row>
    <row r="192" customFormat="false" ht="15" hidden="false" customHeight="false" outlineLevel="0" collapsed="false">
      <c r="B192" s="30" t="s">
        <v>687</v>
      </c>
      <c r="C192" s="75" t="s">
        <v>688</v>
      </c>
      <c r="D192" s="75" t="s">
        <v>332</v>
      </c>
      <c r="E192" s="76" t="n">
        <v>1563.7419</v>
      </c>
    </row>
    <row r="193" customFormat="false" ht="15" hidden="false" customHeight="false" outlineLevel="0" collapsed="false">
      <c r="B193" s="30" t="s">
        <v>687</v>
      </c>
      <c r="C193" s="75" t="s">
        <v>689</v>
      </c>
      <c r="D193" s="75" t="s">
        <v>332</v>
      </c>
      <c r="E193" s="76" t="n">
        <v>1602.5303</v>
      </c>
    </row>
    <row r="194" customFormat="false" ht="15" hidden="false" customHeight="false" outlineLevel="0" collapsed="false">
      <c r="B194" s="30" t="s">
        <v>690</v>
      </c>
      <c r="C194" s="75" t="s">
        <v>691</v>
      </c>
      <c r="D194" s="75" t="s">
        <v>332</v>
      </c>
      <c r="E194" s="76" t="n">
        <v>819.4123</v>
      </c>
    </row>
    <row r="195" customFormat="false" ht="15" hidden="false" customHeight="false" outlineLevel="0" collapsed="false">
      <c r="B195" s="30" t="s">
        <v>692</v>
      </c>
      <c r="C195" s="75" t="s">
        <v>693</v>
      </c>
      <c r="D195" s="75" t="s">
        <v>332</v>
      </c>
      <c r="E195" s="76" t="n">
        <v>1397.1272</v>
      </c>
    </row>
    <row r="196" customFormat="false" ht="15" hidden="false" customHeight="false" outlineLevel="0" collapsed="false">
      <c r="B196" s="30" t="s">
        <v>694</v>
      </c>
      <c r="C196" s="75" t="s">
        <v>695</v>
      </c>
      <c r="D196" s="75" t="s">
        <v>332</v>
      </c>
      <c r="E196" s="76" t="n">
        <v>1466.2319</v>
      </c>
    </row>
    <row r="197" customFormat="false" ht="15" hidden="false" customHeight="false" outlineLevel="0" collapsed="false">
      <c r="B197" s="30" t="s">
        <v>696</v>
      </c>
      <c r="C197" s="75" t="s">
        <v>697</v>
      </c>
      <c r="D197" s="75" t="s">
        <v>332</v>
      </c>
      <c r="E197" s="76" t="n">
        <v>1596.8267</v>
      </c>
    </row>
    <row r="198" customFormat="false" ht="15" hidden="false" customHeight="false" outlineLevel="0" collapsed="false">
      <c r="B198" s="30" t="s">
        <v>698</v>
      </c>
      <c r="C198" s="75" t="s">
        <v>699</v>
      </c>
      <c r="D198" s="75" t="s">
        <v>332</v>
      </c>
      <c r="E198" s="76" t="n">
        <v>1774.9466</v>
      </c>
    </row>
    <row r="199" customFormat="false" ht="15" hidden="false" customHeight="false" outlineLevel="0" collapsed="false">
      <c r="B199" s="30" t="s">
        <v>700</v>
      </c>
      <c r="C199" s="75" t="s">
        <v>701</v>
      </c>
      <c r="D199" s="75" t="s">
        <v>332</v>
      </c>
      <c r="E199" s="76" t="n">
        <v>900.9973</v>
      </c>
    </row>
    <row r="200" customFormat="false" ht="15" hidden="false" customHeight="false" outlineLevel="0" collapsed="false">
      <c r="B200" s="30" t="s">
        <v>702</v>
      </c>
      <c r="C200" s="75" t="s">
        <v>703</v>
      </c>
      <c r="D200" s="75" t="s">
        <v>332</v>
      </c>
      <c r="E200" s="76" t="n">
        <v>1483.6318</v>
      </c>
    </row>
    <row r="201" customFormat="false" ht="15" hidden="false" customHeight="false" outlineLevel="0" collapsed="false">
      <c r="B201" s="30" t="s">
        <v>704</v>
      </c>
      <c r="C201" s="75" t="s">
        <v>705</v>
      </c>
      <c r="D201" s="75" t="s">
        <v>332</v>
      </c>
      <c r="E201" s="76" t="n">
        <v>1706.4299</v>
      </c>
    </row>
    <row r="202" customFormat="false" ht="15" hidden="false" customHeight="false" outlineLevel="0" collapsed="false">
      <c r="B202" s="30" t="s">
        <v>706</v>
      </c>
      <c r="C202" s="75" t="s">
        <v>707</v>
      </c>
      <c r="D202" s="75" t="s">
        <v>332</v>
      </c>
      <c r="E202" s="76" t="n">
        <v>1846.2955</v>
      </c>
    </row>
    <row r="203" customFormat="false" ht="15" hidden="false" customHeight="false" outlineLevel="0" collapsed="false">
      <c r="B203" s="30" t="s">
        <v>708</v>
      </c>
      <c r="C203" s="75" t="s">
        <v>709</v>
      </c>
      <c r="D203" s="75" t="s">
        <v>332</v>
      </c>
      <c r="E203" s="76" t="n">
        <v>2066.5015</v>
      </c>
    </row>
    <row r="204" customFormat="false" ht="15" hidden="false" customHeight="false" outlineLevel="0" collapsed="false">
      <c r="B204" s="30" t="s">
        <v>710</v>
      </c>
      <c r="C204" s="75" t="s">
        <v>711</v>
      </c>
      <c r="D204" s="75" t="s">
        <v>332</v>
      </c>
      <c r="E204" s="76" t="n">
        <v>1027.6329</v>
      </c>
    </row>
    <row r="205" customFormat="false" ht="15" hidden="false" customHeight="false" outlineLevel="0" collapsed="false">
      <c r="B205" s="30" t="s">
        <v>712</v>
      </c>
      <c r="C205" s="75" t="s">
        <v>713</v>
      </c>
      <c r="D205" s="75" t="s">
        <v>332</v>
      </c>
      <c r="E205" s="76" t="n">
        <v>1653.309</v>
      </c>
    </row>
    <row r="206" customFormat="false" ht="15" hidden="false" customHeight="false" outlineLevel="0" collapsed="false">
      <c r="B206" s="30" t="s">
        <v>714</v>
      </c>
      <c r="C206" s="75" t="s">
        <v>715</v>
      </c>
      <c r="D206" s="75" t="s">
        <v>332</v>
      </c>
      <c r="E206" s="76" t="n">
        <v>1769.0029</v>
      </c>
    </row>
    <row r="207" customFormat="false" ht="15" hidden="false" customHeight="false" outlineLevel="0" collapsed="false">
      <c r="B207" s="30" t="s">
        <v>716</v>
      </c>
      <c r="C207" s="75" t="s">
        <v>717</v>
      </c>
      <c r="D207" s="75" t="s">
        <v>332</v>
      </c>
      <c r="E207" s="76" t="n">
        <v>1982.8536</v>
      </c>
    </row>
    <row r="208" customFormat="false" ht="15" hidden="false" customHeight="false" outlineLevel="0" collapsed="false">
      <c r="B208" s="30" t="s">
        <v>718</v>
      </c>
      <c r="C208" s="75" t="s">
        <v>719</v>
      </c>
      <c r="D208" s="75" t="s">
        <v>332</v>
      </c>
      <c r="E208" s="76" t="n">
        <v>2354.7538</v>
      </c>
    </row>
    <row r="209" customFormat="false" ht="15" hidden="false" customHeight="false" outlineLevel="0" collapsed="false">
      <c r="B209" s="30" t="s">
        <v>720</v>
      </c>
      <c r="C209" s="75" t="s">
        <v>721</v>
      </c>
      <c r="D209" s="75" t="s">
        <v>332</v>
      </c>
      <c r="E209" s="76" t="n">
        <v>139.895</v>
      </c>
    </row>
    <row r="210" customFormat="false" ht="15" hidden="false" customHeight="false" outlineLevel="0" collapsed="false">
      <c r="B210" s="30" t="s">
        <v>722</v>
      </c>
      <c r="C210" s="75" t="s">
        <v>723</v>
      </c>
      <c r="D210" s="75" t="s">
        <v>332</v>
      </c>
      <c r="E210" s="76" t="n">
        <v>139.895</v>
      </c>
    </row>
    <row r="211" customFormat="false" ht="15" hidden="false" customHeight="false" outlineLevel="0" collapsed="false">
      <c r="B211" s="30" t="s">
        <v>724</v>
      </c>
      <c r="C211" s="75" t="s">
        <v>725</v>
      </c>
      <c r="D211" s="75" t="s">
        <v>332</v>
      </c>
      <c r="E211" s="76" t="n">
        <v>139.895</v>
      </c>
    </row>
    <row r="212" customFormat="false" ht="15" hidden="false" customHeight="false" outlineLevel="0" collapsed="false">
      <c r="B212" s="30" t="s">
        <v>726</v>
      </c>
      <c r="C212" s="75" t="s">
        <v>727</v>
      </c>
      <c r="D212" s="75" t="s">
        <v>332</v>
      </c>
      <c r="E212" s="76" t="n">
        <v>242.9665</v>
      </c>
    </row>
    <row r="213" customFormat="false" ht="15" hidden="false" customHeight="false" outlineLevel="0" collapsed="false">
      <c r="B213" s="30" t="s">
        <v>728</v>
      </c>
      <c r="C213" s="75" t="s">
        <v>729</v>
      </c>
      <c r="D213" s="75" t="s">
        <v>332</v>
      </c>
      <c r="E213" s="76" t="n">
        <v>242.9665</v>
      </c>
    </row>
    <row r="214" customFormat="false" ht="15" hidden="false" customHeight="false" outlineLevel="0" collapsed="false">
      <c r="B214" s="30" t="s">
        <v>730</v>
      </c>
      <c r="C214" s="75" t="s">
        <v>731</v>
      </c>
      <c r="D214" s="75" t="s">
        <v>332</v>
      </c>
      <c r="E214" s="76" t="n">
        <v>242.9665</v>
      </c>
    </row>
    <row r="215" customFormat="false" ht="15" hidden="false" customHeight="false" outlineLevel="0" collapsed="false">
      <c r="B215" s="30" t="s">
        <v>732</v>
      </c>
      <c r="C215" s="75" t="s">
        <v>733</v>
      </c>
      <c r="D215" s="75" t="s">
        <v>332</v>
      </c>
      <c r="E215" s="76" t="n">
        <v>439.8681</v>
      </c>
    </row>
    <row r="216" customFormat="false" ht="15" hidden="false" customHeight="false" outlineLevel="0" collapsed="false">
      <c r="B216" s="30" t="s">
        <v>734</v>
      </c>
      <c r="C216" s="75" t="s">
        <v>735</v>
      </c>
      <c r="D216" s="75" t="s">
        <v>332</v>
      </c>
      <c r="E216" s="76" t="n">
        <v>796.8135</v>
      </c>
    </row>
    <row r="217" customFormat="false" ht="15" hidden="false" customHeight="false" outlineLevel="0" collapsed="false">
      <c r="B217" s="30" t="s">
        <v>736</v>
      </c>
      <c r="C217" s="75" t="s">
        <v>737</v>
      </c>
      <c r="D217" s="75" t="s">
        <v>332</v>
      </c>
      <c r="E217" s="76" t="n">
        <v>1024.2225</v>
      </c>
    </row>
    <row r="218" customFormat="false" ht="15" hidden="false" customHeight="false" outlineLevel="0" collapsed="false">
      <c r="B218" s="30" t="s">
        <v>738</v>
      </c>
      <c r="C218" s="75" t="s">
        <v>739</v>
      </c>
      <c r="D218" s="75" t="s">
        <v>332</v>
      </c>
      <c r="E218" s="76" t="n">
        <v>684.4369</v>
      </c>
    </row>
    <row r="219" customFormat="false" ht="15" hidden="false" customHeight="false" outlineLevel="0" collapsed="false">
      <c r="B219" s="30" t="s">
        <v>740</v>
      </c>
      <c r="C219" s="75" t="s">
        <v>741</v>
      </c>
      <c r="D219" s="75" t="s">
        <v>332</v>
      </c>
      <c r="E219" s="76" t="n">
        <v>1041.3872</v>
      </c>
    </row>
    <row r="220" customFormat="false" ht="15" hidden="false" customHeight="false" outlineLevel="0" collapsed="false">
      <c r="B220" s="30" t="s">
        <v>742</v>
      </c>
      <c r="C220" s="75" t="s">
        <v>743</v>
      </c>
      <c r="D220" s="75" t="s">
        <v>332</v>
      </c>
      <c r="E220" s="76" t="n">
        <v>1326.871</v>
      </c>
    </row>
    <row r="221" customFormat="false" ht="15" hidden="false" customHeight="false" outlineLevel="0" collapsed="false">
      <c r="B221" s="30" t="s">
        <v>744</v>
      </c>
      <c r="C221" s="75" t="s">
        <v>745</v>
      </c>
      <c r="D221" s="75" t="s">
        <v>332</v>
      </c>
      <c r="E221" s="76" t="n">
        <v>929.0204</v>
      </c>
    </row>
    <row r="222" customFormat="false" ht="15" hidden="false" customHeight="false" outlineLevel="0" collapsed="false">
      <c r="B222" s="30" t="s">
        <v>746</v>
      </c>
      <c r="C222" s="75" t="s">
        <v>747</v>
      </c>
      <c r="D222" s="75" t="s">
        <v>332</v>
      </c>
      <c r="E222" s="76" t="n">
        <v>1273.1131</v>
      </c>
    </row>
    <row r="223" customFormat="false" ht="15" hidden="false" customHeight="false" outlineLevel="0" collapsed="false">
      <c r="B223" s="30" t="s">
        <v>748</v>
      </c>
      <c r="C223" s="75" t="s">
        <v>749</v>
      </c>
      <c r="D223" s="75" t="s">
        <v>332</v>
      </c>
      <c r="E223" s="76" t="n">
        <v>1365.8015</v>
      </c>
    </row>
  </sheetData>
  <mergeCells count="9">
    <mergeCell ref="B2:E2"/>
    <mergeCell ref="B3:E3"/>
    <mergeCell ref="B5:E5"/>
    <mergeCell ref="B28:E28"/>
    <mergeCell ref="B65:E65"/>
    <mergeCell ref="B109:E109"/>
    <mergeCell ref="B125:E125"/>
    <mergeCell ref="B141:E141"/>
    <mergeCell ref="B178:E1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26" activePane="bottomRight" state="frozen"/>
      <selection pane="topLeft" activeCell="A1" activeCellId="0" sqref="A1"/>
      <selection pane="topRight" activeCell="B1" activeCellId="0" sqref="B1"/>
      <selection pane="bottomLeft" activeCell="A26" activeCellId="0" sqref="A26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48"/>
  </cols>
  <sheetData>
    <row r="2" customFormat="false" ht="24" hidden="false" customHeight="true" outlineLevel="0" collapsed="false">
      <c r="B2" s="1" t="s">
        <v>750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751</v>
      </c>
      <c r="C3" s="2"/>
      <c r="D3" s="2"/>
      <c r="E3" s="2"/>
      <c r="F3" s="2"/>
      <c r="G3" s="2"/>
    </row>
    <row r="4" customFormat="false" ht="15" hidden="false" customHeight="false" outlineLevel="0" collapsed="false">
      <c r="B4" s="3" t="s">
        <v>752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27" t="s">
        <v>265</v>
      </c>
      <c r="C5" s="27" t="s">
        <v>325</v>
      </c>
      <c r="D5" s="27" t="s">
        <v>326</v>
      </c>
      <c r="E5" s="27" t="s">
        <v>327</v>
      </c>
      <c r="F5" s="27" t="s">
        <v>328</v>
      </c>
      <c r="G5" s="27" t="s">
        <v>753</v>
      </c>
    </row>
    <row r="6" customFormat="false" ht="15" hidden="false" customHeight="false" outlineLevel="0" collapsed="false">
      <c r="B6" s="75" t="s">
        <v>754</v>
      </c>
      <c r="C6" s="30" t="s">
        <v>755</v>
      </c>
      <c r="D6" s="75" t="s">
        <v>756</v>
      </c>
      <c r="E6" s="75" t="s">
        <v>332</v>
      </c>
      <c r="F6" s="76" t="n">
        <v>1597.75</v>
      </c>
    </row>
    <row r="7" customFormat="false" ht="15" hidden="false" customHeight="false" outlineLevel="0" collapsed="false">
      <c r="B7" s="75" t="s">
        <v>757</v>
      </c>
      <c r="C7" s="30" t="s">
        <v>755</v>
      </c>
      <c r="D7" s="75" t="s">
        <v>756</v>
      </c>
      <c r="E7" s="75" t="s">
        <v>332</v>
      </c>
      <c r="F7" s="76" t="n">
        <v>1597.75</v>
      </c>
    </row>
    <row r="8" customFormat="false" ht="15" hidden="false" customHeight="false" outlineLevel="0" collapsed="false">
      <c r="B8" s="75" t="s">
        <v>758</v>
      </c>
      <c r="C8" s="30" t="s">
        <v>759</v>
      </c>
      <c r="D8" s="75" t="s">
        <v>760</v>
      </c>
      <c r="E8" s="75" t="s">
        <v>332</v>
      </c>
      <c r="F8" s="76" t="n">
        <v>1762.75</v>
      </c>
    </row>
    <row r="9" customFormat="false" ht="15" hidden="false" customHeight="false" outlineLevel="0" collapsed="false">
      <c r="B9" s="75" t="s">
        <v>761</v>
      </c>
      <c r="C9" s="30" t="s">
        <v>759</v>
      </c>
      <c r="D9" s="75" t="s">
        <v>760</v>
      </c>
      <c r="E9" s="75" t="s">
        <v>332</v>
      </c>
      <c r="F9" s="76" t="n">
        <v>1762.75</v>
      </c>
    </row>
    <row r="10" customFormat="false" ht="15" hidden="false" customHeight="false" outlineLevel="0" collapsed="false">
      <c r="B10" s="75" t="s">
        <v>762</v>
      </c>
      <c r="C10" s="30" t="s">
        <v>763</v>
      </c>
      <c r="D10" s="75" t="s">
        <v>764</v>
      </c>
      <c r="E10" s="75" t="s">
        <v>332</v>
      </c>
      <c r="F10" s="76" t="n">
        <v>2992.75</v>
      </c>
    </row>
    <row r="11" customFormat="false" ht="15" hidden="false" customHeight="false" outlineLevel="0" collapsed="false">
      <c r="B11" s="75" t="s">
        <v>765</v>
      </c>
      <c r="C11" s="30" t="s">
        <v>763</v>
      </c>
      <c r="D11" s="75" t="s">
        <v>764</v>
      </c>
      <c r="E11" s="75" t="s">
        <v>332</v>
      </c>
      <c r="F11" s="76" t="n">
        <v>2992.75</v>
      </c>
    </row>
    <row r="12" customFormat="false" ht="15" hidden="false" customHeight="false" outlineLevel="0" collapsed="false">
      <c r="B12" s="75" t="s">
        <v>766</v>
      </c>
      <c r="C12" s="30" t="s">
        <v>767</v>
      </c>
      <c r="D12" s="75" t="s">
        <v>768</v>
      </c>
      <c r="E12" s="75" t="s">
        <v>332</v>
      </c>
      <c r="F12" s="76" t="n">
        <v>3712.75</v>
      </c>
    </row>
    <row r="13" customFormat="false" ht="15" hidden="false" customHeight="false" outlineLevel="0" collapsed="false">
      <c r="B13" s="75" t="s">
        <v>769</v>
      </c>
      <c r="C13" s="30" t="s">
        <v>767</v>
      </c>
      <c r="D13" s="75" t="s">
        <v>768</v>
      </c>
      <c r="E13" s="75" t="s">
        <v>332</v>
      </c>
      <c r="F13" s="76" t="n">
        <v>3712.75</v>
      </c>
    </row>
    <row r="14" customFormat="false" ht="15" hidden="false" customHeight="false" outlineLevel="0" collapsed="false">
      <c r="B14" s="75" t="s">
        <v>770</v>
      </c>
      <c r="C14" s="30" t="s">
        <v>771</v>
      </c>
      <c r="D14" s="75" t="s">
        <v>772</v>
      </c>
      <c r="E14" s="75" t="s">
        <v>332</v>
      </c>
      <c r="F14" s="76" t="n">
        <v>4297.75</v>
      </c>
    </row>
    <row r="15" customFormat="false" ht="15" hidden="false" customHeight="false" outlineLevel="0" collapsed="false">
      <c r="B15" s="75" t="s">
        <v>773</v>
      </c>
      <c r="C15" s="30" t="s">
        <v>771</v>
      </c>
      <c r="D15" s="75" t="s">
        <v>772</v>
      </c>
      <c r="E15" s="75" t="s">
        <v>332</v>
      </c>
      <c r="F15" s="76" t="n">
        <v>4297.75</v>
      </c>
    </row>
    <row r="16" customFormat="false" ht="15" hidden="false" customHeight="false" outlineLevel="0" collapsed="false">
      <c r="B16" s="75" t="s">
        <v>774</v>
      </c>
      <c r="C16" s="30" t="s">
        <v>775</v>
      </c>
      <c r="D16" s="75" t="s">
        <v>776</v>
      </c>
      <c r="E16" s="75" t="s">
        <v>332</v>
      </c>
      <c r="F16" s="76" t="n">
        <v>2097.75</v>
      </c>
    </row>
    <row r="17" customFormat="false" ht="15" hidden="false" customHeight="false" outlineLevel="0" collapsed="false">
      <c r="B17" s="75" t="s">
        <v>777</v>
      </c>
      <c r="C17" s="30" t="s">
        <v>775</v>
      </c>
      <c r="D17" s="75" t="s">
        <v>776</v>
      </c>
      <c r="E17" s="75" t="s">
        <v>332</v>
      </c>
      <c r="F17" s="76" t="n">
        <v>2097.75</v>
      </c>
    </row>
    <row r="18" customFormat="false" ht="15" hidden="false" customHeight="false" outlineLevel="0" collapsed="false">
      <c r="B18" s="75" t="s">
        <v>778</v>
      </c>
      <c r="C18" s="30" t="s">
        <v>779</v>
      </c>
      <c r="D18" s="75" t="s">
        <v>780</v>
      </c>
      <c r="E18" s="75" t="s">
        <v>332</v>
      </c>
      <c r="F18" s="76" t="n">
        <v>1992.75</v>
      </c>
    </row>
    <row r="19" customFormat="false" ht="15" hidden="false" customHeight="false" outlineLevel="0" collapsed="false">
      <c r="B19" s="75" t="s">
        <v>781</v>
      </c>
      <c r="C19" s="30" t="s">
        <v>779</v>
      </c>
      <c r="D19" s="75" t="s">
        <v>780</v>
      </c>
      <c r="E19" s="75" t="s">
        <v>332</v>
      </c>
      <c r="F19" s="76" t="n">
        <v>1992.75</v>
      </c>
    </row>
    <row r="20" customFormat="false" ht="15" hidden="false" customHeight="false" outlineLevel="0" collapsed="false">
      <c r="B20" s="75" t="s">
        <v>782</v>
      </c>
      <c r="C20" s="30" t="s">
        <v>783</v>
      </c>
      <c r="D20" s="75" t="s">
        <v>784</v>
      </c>
      <c r="E20" s="75" t="s">
        <v>332</v>
      </c>
      <c r="F20" s="76" t="n">
        <v>2762.75</v>
      </c>
    </row>
    <row r="21" customFormat="false" ht="15" hidden="false" customHeight="false" outlineLevel="0" collapsed="false">
      <c r="B21" s="75" t="s">
        <v>785</v>
      </c>
      <c r="C21" s="30" t="s">
        <v>783</v>
      </c>
      <c r="D21" s="75" t="s">
        <v>784</v>
      </c>
      <c r="E21" s="75" t="s">
        <v>332</v>
      </c>
      <c r="F21" s="76" t="n">
        <v>2762.75</v>
      </c>
    </row>
    <row r="22" customFormat="false" ht="15" hidden="false" customHeight="false" outlineLevel="0" collapsed="false">
      <c r="B22" s="75" t="s">
        <v>786</v>
      </c>
      <c r="C22" s="30" t="s">
        <v>787</v>
      </c>
      <c r="D22" s="75" t="s">
        <v>788</v>
      </c>
      <c r="E22" s="75" t="s">
        <v>332</v>
      </c>
      <c r="F22" s="76" t="n">
        <v>3492.75</v>
      </c>
    </row>
    <row r="23" customFormat="false" ht="15" hidden="false" customHeight="false" outlineLevel="0" collapsed="false">
      <c r="B23" s="75" t="s">
        <v>789</v>
      </c>
      <c r="C23" s="30" t="s">
        <v>787</v>
      </c>
      <c r="D23" s="75" t="s">
        <v>788</v>
      </c>
      <c r="E23" s="75" t="s">
        <v>332</v>
      </c>
      <c r="F23" s="76" t="n">
        <v>3492.75</v>
      </c>
    </row>
    <row r="24" customFormat="false" ht="15" hidden="false" customHeight="false" outlineLevel="0" collapsed="false">
      <c r="B24" s="75" t="s">
        <v>790</v>
      </c>
      <c r="C24" s="30" t="s">
        <v>791</v>
      </c>
      <c r="D24" s="75" t="s">
        <v>792</v>
      </c>
      <c r="E24" s="75" t="s">
        <v>332</v>
      </c>
      <c r="F24" s="76" t="n">
        <v>4462.75</v>
      </c>
    </row>
    <row r="25" customFormat="false" ht="15" hidden="false" customHeight="false" outlineLevel="0" collapsed="false">
      <c r="B25" s="75" t="s">
        <v>793</v>
      </c>
      <c r="C25" s="30" t="s">
        <v>791</v>
      </c>
      <c r="D25" s="75" t="s">
        <v>792</v>
      </c>
      <c r="E25" s="75" t="s">
        <v>332</v>
      </c>
      <c r="F25" s="76" t="n">
        <v>4462.75</v>
      </c>
    </row>
    <row r="26" customFormat="false" ht="15" hidden="false" customHeight="false" outlineLevel="0" collapsed="false">
      <c r="B26" s="75" t="s">
        <v>794</v>
      </c>
      <c r="C26" s="30" t="s">
        <v>795</v>
      </c>
      <c r="D26" s="75" t="s">
        <v>796</v>
      </c>
      <c r="E26" s="75" t="s">
        <v>332</v>
      </c>
      <c r="F26" s="76" t="n">
        <v>458.79</v>
      </c>
    </row>
    <row r="27" customFormat="false" ht="15" hidden="false" customHeight="false" outlineLevel="0" collapsed="false">
      <c r="B27" s="75" t="s">
        <v>797</v>
      </c>
      <c r="C27" s="30" t="s">
        <v>798</v>
      </c>
      <c r="D27" s="75" t="s">
        <v>799</v>
      </c>
      <c r="E27" s="75" t="s">
        <v>332</v>
      </c>
      <c r="F27" s="76" t="n">
        <v>435.01</v>
      </c>
    </row>
    <row r="28" customFormat="false" ht="15" hidden="false" customHeight="false" outlineLevel="0" collapsed="false">
      <c r="B28" s="75" t="s">
        <v>800</v>
      </c>
      <c r="C28" s="30" t="s">
        <v>738</v>
      </c>
      <c r="D28" s="75" t="s">
        <v>739</v>
      </c>
      <c r="E28" s="75" t="s">
        <v>332</v>
      </c>
      <c r="F28" s="76" t="n">
        <v>1134.91</v>
      </c>
    </row>
    <row r="29" customFormat="false" ht="15" hidden="false" customHeight="false" outlineLevel="0" collapsed="false">
      <c r="B29" s="75" t="s">
        <v>801</v>
      </c>
      <c r="C29" s="30" t="s">
        <v>802</v>
      </c>
      <c r="D29" s="75" t="s">
        <v>803</v>
      </c>
      <c r="E29" s="75" t="s">
        <v>332</v>
      </c>
      <c r="F29" s="76" t="n">
        <v>296.4</v>
      </c>
    </row>
    <row r="30" customFormat="false" ht="15" hidden="false" customHeight="false" outlineLevel="0" collapsed="false">
      <c r="B30" s="75" t="s">
        <v>804</v>
      </c>
      <c r="C30" s="30" t="s">
        <v>805</v>
      </c>
      <c r="D30" s="75" t="s">
        <v>806</v>
      </c>
      <c r="E30" s="75" t="s">
        <v>332</v>
      </c>
      <c r="F30" s="76" t="n">
        <v>280.7</v>
      </c>
      <c r="G30" s="10" t="s">
        <v>807</v>
      </c>
    </row>
    <row r="31" customFormat="false" ht="15" hidden="false" customHeight="false" outlineLevel="0" collapsed="false">
      <c r="B31" s="75" t="s">
        <v>808</v>
      </c>
      <c r="C31" s="30" t="s">
        <v>732</v>
      </c>
      <c r="D31" s="75" t="s">
        <v>733</v>
      </c>
      <c r="E31" s="75" t="s">
        <v>332</v>
      </c>
      <c r="F31" s="76" t="n">
        <v>729.3</v>
      </c>
      <c r="G31" s="10" t="s">
        <v>807</v>
      </c>
    </row>
    <row r="32" customFormat="false" ht="15" hidden="false" customHeight="false" outlineLevel="0" collapsed="false">
      <c r="B32" s="75" t="s">
        <v>809</v>
      </c>
      <c r="C32" s="30" t="s">
        <v>810</v>
      </c>
      <c r="D32" s="75" t="s">
        <v>811</v>
      </c>
      <c r="E32" s="75" t="s">
        <v>332</v>
      </c>
      <c r="F32" s="76" t="n">
        <v>621.1</v>
      </c>
      <c r="G32" s="10" t="s">
        <v>807</v>
      </c>
    </row>
    <row r="33" customFormat="false" ht="15" hidden="false" customHeight="false" outlineLevel="0" collapsed="false">
      <c r="B33" s="75" t="s">
        <v>812</v>
      </c>
      <c r="C33" s="30" t="s">
        <v>813</v>
      </c>
      <c r="D33" s="75" t="s">
        <v>814</v>
      </c>
      <c r="E33" s="75" t="s">
        <v>332</v>
      </c>
      <c r="F33" s="76" t="n">
        <v>589.3</v>
      </c>
      <c r="G33" s="10" t="s">
        <v>807</v>
      </c>
    </row>
    <row r="34" customFormat="false" ht="15" hidden="false" customHeight="false" outlineLevel="0" collapsed="false">
      <c r="B34" s="75" t="s">
        <v>815</v>
      </c>
      <c r="C34" s="30" t="s">
        <v>744</v>
      </c>
      <c r="D34" s="75" t="s">
        <v>745</v>
      </c>
      <c r="E34" s="75" t="s">
        <v>332</v>
      </c>
      <c r="F34" s="76" t="n">
        <v>1540.4</v>
      </c>
      <c r="G34" s="10" t="s">
        <v>807</v>
      </c>
    </row>
    <row r="35" customFormat="false" ht="15" hidden="false" customHeight="false" outlineLevel="0" collapsed="false">
      <c r="B35" s="75" t="s">
        <v>816</v>
      </c>
      <c r="C35" s="30" t="s">
        <v>817</v>
      </c>
      <c r="D35" s="75" t="s">
        <v>818</v>
      </c>
      <c r="E35" s="75" t="s">
        <v>332</v>
      </c>
      <c r="F35" s="76" t="n">
        <v>3967</v>
      </c>
      <c r="G35" s="10" t="s">
        <v>807</v>
      </c>
    </row>
    <row r="36" customFormat="false" ht="15" hidden="false" customHeight="false" outlineLevel="0" collapsed="false">
      <c r="B36" s="75" t="s">
        <v>819</v>
      </c>
      <c r="C36" s="30" t="s">
        <v>820</v>
      </c>
      <c r="D36" s="75" t="s">
        <v>821</v>
      </c>
      <c r="E36" s="75" t="s">
        <v>332</v>
      </c>
      <c r="F36" s="76" t="n">
        <v>3261</v>
      </c>
      <c r="G36" s="10" t="s">
        <v>807</v>
      </c>
    </row>
    <row r="37" customFormat="false" ht="15" hidden="false" customHeight="false" outlineLevel="0" collapsed="false">
      <c r="B37" s="75" t="s">
        <v>822</v>
      </c>
      <c r="C37" s="30" t="s">
        <v>823</v>
      </c>
      <c r="D37" s="75" t="s">
        <v>824</v>
      </c>
      <c r="E37" s="75" t="s">
        <v>332</v>
      </c>
      <c r="F37" s="76" t="n">
        <v>2394</v>
      </c>
      <c r="G37" s="10" t="s">
        <v>807</v>
      </c>
    </row>
    <row r="38" customFormat="false" ht="15" hidden="false" customHeight="false" outlineLevel="0" collapsed="false">
      <c r="B38" s="75" t="s">
        <v>825</v>
      </c>
      <c r="C38" s="30" t="s">
        <v>826</v>
      </c>
      <c r="D38" s="75" t="s">
        <v>827</v>
      </c>
      <c r="E38" s="75" t="s">
        <v>332</v>
      </c>
      <c r="F38" s="76" t="n">
        <v>275</v>
      </c>
      <c r="G38" s="10" t="s">
        <v>807</v>
      </c>
    </row>
    <row r="39" customFormat="false" ht="15" hidden="false" customHeight="false" outlineLevel="0" collapsed="false">
      <c r="B39" s="75" t="s">
        <v>828</v>
      </c>
      <c r="C39" s="30" t="s">
        <v>826</v>
      </c>
      <c r="D39" s="75" t="s">
        <v>827</v>
      </c>
      <c r="E39" s="75" t="s">
        <v>332</v>
      </c>
      <c r="F39" s="76" t="n">
        <v>275</v>
      </c>
      <c r="G39" s="10" t="s">
        <v>807</v>
      </c>
    </row>
    <row r="40" customFormat="false" ht="15" hidden="false" customHeight="false" outlineLevel="0" collapsed="false">
      <c r="B40" s="75" t="s">
        <v>829</v>
      </c>
      <c r="C40" s="30" t="s">
        <v>830</v>
      </c>
      <c r="D40" s="75" t="s">
        <v>831</v>
      </c>
      <c r="E40" s="75" t="s">
        <v>332</v>
      </c>
      <c r="F40" s="76" t="n">
        <v>223</v>
      </c>
      <c r="G40" s="10" t="s">
        <v>807</v>
      </c>
    </row>
    <row r="41" customFormat="false" ht="15" hidden="false" customHeight="false" outlineLevel="0" collapsed="false">
      <c r="B41" s="75" t="s">
        <v>832</v>
      </c>
      <c r="C41" s="30" t="s">
        <v>830</v>
      </c>
      <c r="D41" s="75" t="s">
        <v>831</v>
      </c>
      <c r="E41" s="75" t="s">
        <v>332</v>
      </c>
      <c r="F41" s="76" t="n">
        <v>223</v>
      </c>
      <c r="G41" s="10" t="s">
        <v>807</v>
      </c>
    </row>
    <row r="42" customFormat="false" ht="15" hidden="false" customHeight="false" outlineLevel="0" collapsed="false">
      <c r="B42" s="75" t="s">
        <v>833</v>
      </c>
      <c r="C42" s="30" t="s">
        <v>834</v>
      </c>
      <c r="D42" s="75" t="s">
        <v>835</v>
      </c>
      <c r="E42" s="75" t="s">
        <v>332</v>
      </c>
      <c r="F42" s="76" t="n">
        <v>400</v>
      </c>
      <c r="G42" s="10" t="s">
        <v>807</v>
      </c>
    </row>
    <row r="43" customFormat="false" ht="15" hidden="false" customHeight="false" outlineLevel="0" collapsed="false">
      <c r="B43" s="75" t="s">
        <v>836</v>
      </c>
      <c r="C43" s="30" t="s">
        <v>834</v>
      </c>
      <c r="D43" s="75" t="s">
        <v>835</v>
      </c>
      <c r="E43" s="75" t="s">
        <v>332</v>
      </c>
      <c r="F43" s="76" t="n">
        <v>400</v>
      </c>
      <c r="G43" s="10" t="s">
        <v>807</v>
      </c>
    </row>
    <row r="44" customFormat="false" ht="15" hidden="false" customHeight="false" outlineLevel="0" collapsed="false">
      <c r="B44" s="75" t="s">
        <v>837</v>
      </c>
      <c r="C44" s="30" t="s">
        <v>838</v>
      </c>
      <c r="D44" s="75" t="s">
        <v>839</v>
      </c>
      <c r="E44" s="75" t="s">
        <v>332</v>
      </c>
      <c r="F44" s="76" t="n">
        <v>688</v>
      </c>
      <c r="G44" s="10" t="s">
        <v>807</v>
      </c>
    </row>
    <row r="45" customFormat="false" ht="15" hidden="false" customHeight="false" outlineLevel="0" collapsed="false">
      <c r="B45" s="75" t="s">
        <v>840</v>
      </c>
      <c r="C45" s="30" t="s">
        <v>841</v>
      </c>
      <c r="D45" s="75" t="s">
        <v>842</v>
      </c>
      <c r="E45" s="75" t="s">
        <v>332</v>
      </c>
      <c r="F45" s="76" t="n">
        <v>662</v>
      </c>
      <c r="G45" s="10" t="s">
        <v>807</v>
      </c>
    </row>
    <row r="46" customFormat="false" ht="15" hidden="false" customHeight="false" outlineLevel="0" collapsed="false">
      <c r="B46" s="75" t="s">
        <v>843</v>
      </c>
      <c r="C46" s="30" t="s">
        <v>740</v>
      </c>
      <c r="D46" s="75" t="s">
        <v>741</v>
      </c>
      <c r="E46" s="75" t="s">
        <v>332</v>
      </c>
      <c r="F46" s="76" t="n">
        <v>1726</v>
      </c>
      <c r="G46" s="10" t="s">
        <v>807</v>
      </c>
    </row>
    <row r="47" customFormat="false" ht="15" hidden="false" customHeight="false" outlineLevel="0" collapsed="false">
      <c r="B47" s="75" t="s">
        <v>844</v>
      </c>
      <c r="C47" s="30" t="s">
        <v>845</v>
      </c>
      <c r="D47" s="75" t="s">
        <v>846</v>
      </c>
      <c r="E47" s="75" t="s">
        <v>332</v>
      </c>
      <c r="F47" s="76" t="n">
        <v>526</v>
      </c>
      <c r="G47" s="10" t="s">
        <v>807</v>
      </c>
    </row>
    <row r="48" customFormat="false" ht="15" hidden="false" customHeight="false" outlineLevel="0" collapsed="false">
      <c r="B48" s="75" t="s">
        <v>847</v>
      </c>
      <c r="C48" s="30" t="s">
        <v>848</v>
      </c>
      <c r="D48" s="75" t="s">
        <v>849</v>
      </c>
      <c r="E48" s="75" t="s">
        <v>332</v>
      </c>
      <c r="F48" s="76" t="n">
        <v>507</v>
      </c>
      <c r="G48" s="10" t="s">
        <v>807</v>
      </c>
    </row>
    <row r="49" customFormat="false" ht="15" hidden="false" customHeight="false" outlineLevel="0" collapsed="false">
      <c r="B49" s="75" t="s">
        <v>850</v>
      </c>
      <c r="C49" s="30" t="s">
        <v>734</v>
      </c>
      <c r="D49" s="75" t="s">
        <v>735</v>
      </c>
      <c r="E49" s="75" t="s">
        <v>332</v>
      </c>
      <c r="F49" s="76" t="n">
        <v>1321.2</v>
      </c>
      <c r="G49" s="10" t="s">
        <v>807</v>
      </c>
    </row>
    <row r="50" customFormat="false" ht="15" hidden="false" customHeight="false" outlineLevel="0" collapsed="false">
      <c r="B50" s="75" t="s">
        <v>851</v>
      </c>
      <c r="C50" s="30" t="s">
        <v>852</v>
      </c>
      <c r="D50" s="75" t="s">
        <v>853</v>
      </c>
      <c r="E50" s="75" t="s">
        <v>332</v>
      </c>
      <c r="F50" s="76" t="n">
        <v>851.1</v>
      </c>
      <c r="G50" s="10" t="s">
        <v>807</v>
      </c>
    </row>
    <row r="51" customFormat="false" ht="15" hidden="false" customHeight="false" outlineLevel="0" collapsed="false">
      <c r="B51" s="75" t="s">
        <v>854</v>
      </c>
      <c r="C51" s="30" t="s">
        <v>855</v>
      </c>
      <c r="D51" s="75" t="s">
        <v>856</v>
      </c>
      <c r="E51" s="75" t="s">
        <v>332</v>
      </c>
      <c r="F51" s="76" t="n">
        <v>816.3</v>
      </c>
      <c r="G51" s="10" t="s">
        <v>807</v>
      </c>
    </row>
    <row r="52" customFormat="false" ht="15" hidden="false" customHeight="false" outlineLevel="0" collapsed="false">
      <c r="B52" s="75" t="s">
        <v>857</v>
      </c>
      <c r="C52" s="30" t="s">
        <v>746</v>
      </c>
      <c r="D52" s="75" t="s">
        <v>747</v>
      </c>
      <c r="E52" s="75" t="s">
        <v>332</v>
      </c>
      <c r="F52" s="76" t="n">
        <v>2132.3</v>
      </c>
      <c r="G52" s="10" t="s">
        <v>807</v>
      </c>
    </row>
    <row r="53" customFormat="false" ht="15" hidden="false" customHeight="false" outlineLevel="0" collapsed="false">
      <c r="B53" s="75" t="s">
        <v>858</v>
      </c>
      <c r="C53" s="30" t="s">
        <v>859</v>
      </c>
      <c r="D53" s="75" t="s">
        <v>860</v>
      </c>
      <c r="E53" s="75" t="s">
        <v>332</v>
      </c>
      <c r="F53" s="76" t="n">
        <v>1084.13</v>
      </c>
    </row>
    <row r="54" customFormat="false" ht="15" hidden="false" customHeight="false" outlineLevel="0" collapsed="false">
      <c r="B54" s="75" t="s">
        <v>861</v>
      </c>
      <c r="C54" s="30" t="s">
        <v>862</v>
      </c>
      <c r="D54" s="75" t="s">
        <v>863</v>
      </c>
      <c r="E54" s="75" t="s">
        <v>332</v>
      </c>
      <c r="F54" s="76" t="n">
        <v>1051.78</v>
      </c>
    </row>
    <row r="55" customFormat="false" ht="15" hidden="false" customHeight="false" outlineLevel="0" collapsed="false">
      <c r="B55" s="75" t="s">
        <v>864</v>
      </c>
      <c r="C55" s="30" t="s">
        <v>742</v>
      </c>
      <c r="D55" s="75" t="s">
        <v>743</v>
      </c>
      <c r="E55" s="75" t="s">
        <v>332</v>
      </c>
      <c r="F55" s="76" t="n">
        <v>2743.13</v>
      </c>
    </row>
    <row r="56" customFormat="false" ht="15" hidden="false" customHeight="false" outlineLevel="0" collapsed="false">
      <c r="B56" s="75" t="s">
        <v>865</v>
      </c>
      <c r="C56" s="30" t="s">
        <v>866</v>
      </c>
      <c r="D56" s="75" t="s">
        <v>867</v>
      </c>
      <c r="E56" s="75" t="s">
        <v>332</v>
      </c>
      <c r="F56" s="76" t="n">
        <v>894.67</v>
      </c>
    </row>
    <row r="57" customFormat="false" ht="15" hidden="false" customHeight="false" outlineLevel="0" collapsed="false">
      <c r="B57" s="75" t="s">
        <v>868</v>
      </c>
      <c r="C57" s="30" t="s">
        <v>869</v>
      </c>
      <c r="D57" s="75" t="s">
        <v>870</v>
      </c>
      <c r="E57" s="75" t="s">
        <v>332</v>
      </c>
      <c r="F57" s="76" t="n">
        <v>871.78</v>
      </c>
    </row>
    <row r="58" customFormat="false" ht="15" hidden="false" customHeight="false" outlineLevel="0" collapsed="false">
      <c r="B58" s="75" t="s">
        <v>871</v>
      </c>
      <c r="C58" s="30" t="s">
        <v>736</v>
      </c>
      <c r="D58" s="75" t="s">
        <v>737</v>
      </c>
      <c r="E58" s="75" t="s">
        <v>332</v>
      </c>
      <c r="F58" s="76" t="n">
        <v>2270</v>
      </c>
    </row>
    <row r="59" customFormat="false" ht="15" hidden="false" customHeight="false" outlineLevel="0" collapsed="false">
      <c r="B59" s="75" t="s">
        <v>872</v>
      </c>
      <c r="C59" s="30" t="s">
        <v>873</v>
      </c>
      <c r="D59" s="75" t="s">
        <v>874</v>
      </c>
      <c r="E59" s="75" t="s">
        <v>332</v>
      </c>
      <c r="F59" s="76" t="n">
        <v>1273.6</v>
      </c>
    </row>
    <row r="60" customFormat="false" ht="15" hidden="false" customHeight="false" outlineLevel="0" collapsed="false">
      <c r="B60" s="75" t="s">
        <v>875</v>
      </c>
      <c r="C60" s="30" t="s">
        <v>876</v>
      </c>
      <c r="D60" s="75" t="s">
        <v>877</v>
      </c>
      <c r="E60" s="75" t="s">
        <v>332</v>
      </c>
      <c r="F60" s="76" t="n">
        <v>1231.8</v>
      </c>
    </row>
    <row r="61" customFormat="false" ht="15" hidden="false" customHeight="false" outlineLevel="0" collapsed="false">
      <c r="B61" s="75" t="s">
        <v>878</v>
      </c>
      <c r="C61" s="30" t="s">
        <v>748</v>
      </c>
      <c r="D61" s="75" t="s">
        <v>749</v>
      </c>
      <c r="E61" s="75" t="s">
        <v>332</v>
      </c>
      <c r="F61" s="76" t="n">
        <v>3216.27</v>
      </c>
    </row>
    <row r="62" customFormat="false" ht="15" hidden="false" customHeight="false" outlineLevel="0" collapsed="false">
      <c r="B62" s="75" t="s">
        <v>879</v>
      </c>
      <c r="C62" s="30" t="s">
        <v>880</v>
      </c>
      <c r="D62" s="75" t="s">
        <v>881</v>
      </c>
      <c r="E62" s="75" t="s">
        <v>332</v>
      </c>
      <c r="F62" s="76" t="n">
        <v>5164.44</v>
      </c>
    </row>
    <row r="63" customFormat="false" ht="15" hidden="false" customHeight="false" outlineLevel="0" collapsed="false">
      <c r="B63" s="75" t="s">
        <v>882</v>
      </c>
      <c r="C63" s="30" t="s">
        <v>883</v>
      </c>
      <c r="D63" s="75" t="s">
        <v>884</v>
      </c>
      <c r="E63" s="75" t="s">
        <v>332</v>
      </c>
      <c r="F63" s="76" t="n">
        <v>8472.55</v>
      </c>
    </row>
    <row r="64" customFormat="false" ht="15" hidden="false" customHeight="false" outlineLevel="0" collapsed="false">
      <c r="B64" s="75" t="s">
        <v>885</v>
      </c>
      <c r="C64" s="30" t="s">
        <v>886</v>
      </c>
      <c r="D64" s="75" t="s">
        <v>887</v>
      </c>
      <c r="E64" s="75" t="s">
        <v>332</v>
      </c>
      <c r="F64" s="76" t="n">
        <v>11566.33</v>
      </c>
    </row>
    <row r="65" customFormat="false" ht="15" hidden="false" customHeight="false" outlineLevel="0" collapsed="false">
      <c r="B65" s="75" t="s">
        <v>888</v>
      </c>
      <c r="C65" s="30" t="s">
        <v>636</v>
      </c>
      <c r="D65" s="75" t="s">
        <v>637</v>
      </c>
      <c r="E65" s="75" t="s">
        <v>332</v>
      </c>
      <c r="F65" s="76" t="n">
        <v>142.75</v>
      </c>
    </row>
    <row r="66" customFormat="false" ht="15" hidden="false" customHeight="false" outlineLevel="0" collapsed="false">
      <c r="B66" s="75" t="s">
        <v>889</v>
      </c>
      <c r="C66" s="30" t="s">
        <v>720</v>
      </c>
      <c r="D66" s="75" t="s">
        <v>721</v>
      </c>
      <c r="E66" s="75" t="s">
        <v>332</v>
      </c>
      <c r="F66" s="76" t="n">
        <v>142.75</v>
      </c>
    </row>
    <row r="67" customFormat="false" ht="15" hidden="false" customHeight="false" outlineLevel="0" collapsed="false">
      <c r="B67" s="75" t="s">
        <v>890</v>
      </c>
      <c r="C67" s="30" t="s">
        <v>722</v>
      </c>
      <c r="D67" s="75" t="s">
        <v>723</v>
      </c>
      <c r="E67" s="75" t="s">
        <v>332</v>
      </c>
      <c r="F67" s="76" t="n">
        <v>142.75</v>
      </c>
    </row>
    <row r="68" customFormat="false" ht="15" hidden="false" customHeight="false" outlineLevel="0" collapsed="false">
      <c r="B68" s="75" t="s">
        <v>891</v>
      </c>
      <c r="C68" s="30" t="s">
        <v>724</v>
      </c>
      <c r="D68" s="75" t="s">
        <v>725</v>
      </c>
      <c r="E68" s="75" t="s">
        <v>332</v>
      </c>
      <c r="F68" s="76" t="n">
        <v>142.75</v>
      </c>
    </row>
    <row r="69" customFormat="false" ht="15" hidden="false" customHeight="false" outlineLevel="0" collapsed="false">
      <c r="B69" s="75" t="s">
        <v>892</v>
      </c>
      <c r="C69" s="30" t="s">
        <v>646</v>
      </c>
      <c r="D69" s="75" t="s">
        <v>647</v>
      </c>
      <c r="E69" s="75" t="s">
        <v>332</v>
      </c>
      <c r="F69" s="76" t="n">
        <v>142.75</v>
      </c>
    </row>
    <row r="70" customFormat="false" ht="15" hidden="false" customHeight="false" outlineLevel="0" collapsed="false">
      <c r="B70" s="75" t="s">
        <v>893</v>
      </c>
      <c r="C70" s="30" t="s">
        <v>894</v>
      </c>
      <c r="D70" s="75" t="s">
        <v>895</v>
      </c>
      <c r="E70" s="75" t="s">
        <v>406</v>
      </c>
      <c r="F70" s="76" t="n">
        <v>18.67</v>
      </c>
    </row>
    <row r="71" customFormat="false" ht="15" hidden="false" customHeight="false" outlineLevel="0" collapsed="false">
      <c r="B71" s="75" t="s">
        <v>896</v>
      </c>
      <c r="C71" s="30" t="s">
        <v>894</v>
      </c>
      <c r="D71" s="75" t="s">
        <v>895</v>
      </c>
      <c r="E71" s="75" t="s">
        <v>406</v>
      </c>
      <c r="F71" s="76" t="n">
        <v>18.67</v>
      </c>
    </row>
    <row r="72" customFormat="false" ht="15" hidden="false" customHeight="false" outlineLevel="0" collapsed="false">
      <c r="B72" s="75" t="s">
        <v>897</v>
      </c>
      <c r="C72" s="30" t="s">
        <v>898</v>
      </c>
      <c r="D72" s="75" t="s">
        <v>899</v>
      </c>
      <c r="E72" s="75" t="s">
        <v>406</v>
      </c>
      <c r="F72" s="76" t="n">
        <v>16.33</v>
      </c>
    </row>
    <row r="73" customFormat="false" ht="15" hidden="false" customHeight="false" outlineLevel="0" collapsed="false">
      <c r="B73" s="75" t="s">
        <v>900</v>
      </c>
      <c r="C73" s="30" t="s">
        <v>898</v>
      </c>
      <c r="D73" s="75" t="s">
        <v>899</v>
      </c>
      <c r="E73" s="75" t="s">
        <v>406</v>
      </c>
      <c r="F73" s="76" t="n">
        <v>16.33</v>
      </c>
    </row>
    <row r="74" customFormat="false" ht="15" hidden="false" customHeight="false" outlineLevel="0" collapsed="false">
      <c r="B74" s="75" t="s">
        <v>901</v>
      </c>
      <c r="C74" s="30" t="s">
        <v>902</v>
      </c>
      <c r="D74" s="75" t="s">
        <v>580</v>
      </c>
      <c r="E74" s="75" t="s">
        <v>332</v>
      </c>
      <c r="F74" s="76" t="n">
        <v>247.93</v>
      </c>
    </row>
    <row r="75" customFormat="false" ht="15" hidden="false" customHeight="false" outlineLevel="0" collapsed="false">
      <c r="B75" s="75" t="s">
        <v>903</v>
      </c>
      <c r="C75" s="30" t="s">
        <v>638</v>
      </c>
      <c r="D75" s="75" t="s">
        <v>639</v>
      </c>
      <c r="E75" s="75" t="s">
        <v>332</v>
      </c>
      <c r="F75" s="76" t="n">
        <v>247.93</v>
      </c>
    </row>
    <row r="76" customFormat="false" ht="15" hidden="false" customHeight="false" outlineLevel="0" collapsed="false">
      <c r="B76" s="75" t="s">
        <v>904</v>
      </c>
      <c r="C76" s="30" t="s">
        <v>726</v>
      </c>
      <c r="D76" s="75" t="s">
        <v>727</v>
      </c>
      <c r="E76" s="75" t="s">
        <v>332</v>
      </c>
      <c r="F76" s="76" t="n">
        <v>247.93</v>
      </c>
    </row>
    <row r="77" customFormat="false" ht="15" hidden="false" customHeight="false" outlineLevel="0" collapsed="false">
      <c r="B77" s="75" t="s">
        <v>905</v>
      </c>
      <c r="C77" s="30" t="s">
        <v>906</v>
      </c>
      <c r="D77" s="75" t="s">
        <v>907</v>
      </c>
      <c r="E77" s="75" t="s">
        <v>332</v>
      </c>
      <c r="F77" s="76" t="n">
        <v>162.53</v>
      </c>
    </row>
    <row r="78" customFormat="false" ht="15" hidden="false" customHeight="false" outlineLevel="0" collapsed="false">
      <c r="B78" s="75" t="s">
        <v>908</v>
      </c>
      <c r="C78" s="30" t="s">
        <v>906</v>
      </c>
      <c r="D78" s="75" t="s">
        <v>907</v>
      </c>
      <c r="E78" s="75" t="s">
        <v>332</v>
      </c>
      <c r="F78" s="76" t="n">
        <v>162.53</v>
      </c>
    </row>
    <row r="79" customFormat="false" ht="15" hidden="false" customHeight="false" outlineLevel="0" collapsed="false">
      <c r="B79" s="75" t="s">
        <v>909</v>
      </c>
      <c r="C79" s="30" t="s">
        <v>728</v>
      </c>
      <c r="D79" s="75" t="s">
        <v>729</v>
      </c>
      <c r="E79" s="75" t="s">
        <v>332</v>
      </c>
      <c r="F79" s="76" t="n">
        <v>247.93</v>
      </c>
    </row>
    <row r="80" customFormat="false" ht="15" hidden="false" customHeight="false" outlineLevel="0" collapsed="false">
      <c r="B80" s="75" t="s">
        <v>910</v>
      </c>
      <c r="C80" s="30" t="s">
        <v>730</v>
      </c>
      <c r="D80" s="75" t="s">
        <v>731</v>
      </c>
      <c r="E80" s="75" t="s">
        <v>332</v>
      </c>
      <c r="F80" s="76" t="n">
        <v>247.93</v>
      </c>
    </row>
    <row r="81" customFormat="false" ht="15" hidden="false" customHeight="false" outlineLevel="0" collapsed="false">
      <c r="B81" s="75" t="s">
        <v>911</v>
      </c>
      <c r="C81" s="30" t="s">
        <v>912</v>
      </c>
      <c r="D81" s="75" t="s">
        <v>913</v>
      </c>
      <c r="E81" s="75" t="s">
        <v>406</v>
      </c>
      <c r="F81" s="76" t="n">
        <v>114.03</v>
      </c>
    </row>
    <row r="82" customFormat="false" ht="15" hidden="false" customHeight="false" outlineLevel="0" collapsed="false">
      <c r="B82" s="75" t="s">
        <v>914</v>
      </c>
      <c r="C82" s="30" t="s">
        <v>912</v>
      </c>
      <c r="D82" s="75" t="s">
        <v>913</v>
      </c>
      <c r="E82" s="75" t="s">
        <v>406</v>
      </c>
      <c r="F82" s="76" t="n">
        <v>114.03</v>
      </c>
    </row>
    <row r="83" customFormat="false" ht="15" hidden="false" customHeight="false" outlineLevel="0" collapsed="false">
      <c r="B83" s="75" t="s">
        <v>915</v>
      </c>
      <c r="C83" s="30" t="s">
        <v>916</v>
      </c>
      <c r="D83" s="75" t="s">
        <v>917</v>
      </c>
      <c r="E83" s="75" t="s">
        <v>406</v>
      </c>
      <c r="F83" s="76" t="n">
        <v>99.76</v>
      </c>
    </row>
    <row r="84" customFormat="false" ht="15" hidden="false" customHeight="false" outlineLevel="0" collapsed="false">
      <c r="B84" s="75" t="s">
        <v>918</v>
      </c>
      <c r="C84" s="30" t="s">
        <v>916</v>
      </c>
      <c r="D84" s="75" t="s">
        <v>917</v>
      </c>
      <c r="E84" s="75" t="s">
        <v>406</v>
      </c>
      <c r="F84" s="76" t="n">
        <v>99.76</v>
      </c>
    </row>
    <row r="85" customFormat="false" ht="15" hidden="false" customHeight="false" outlineLevel="0" collapsed="false">
      <c r="B85" s="75" t="s">
        <v>919</v>
      </c>
      <c r="C85" s="30" t="s">
        <v>665</v>
      </c>
      <c r="D85" s="75" t="s">
        <v>666</v>
      </c>
      <c r="E85" s="75" t="s">
        <v>332</v>
      </c>
      <c r="F85" s="76" t="n">
        <v>1625</v>
      </c>
    </row>
    <row r="86" customFormat="false" ht="15" hidden="false" customHeight="false" outlineLevel="0" collapsed="false">
      <c r="B86" s="75" t="s">
        <v>920</v>
      </c>
      <c r="C86" s="30" t="s">
        <v>661</v>
      </c>
      <c r="D86" s="75" t="s">
        <v>662</v>
      </c>
      <c r="E86" s="75" t="s">
        <v>332</v>
      </c>
      <c r="F86" s="76" t="n">
        <v>647.75</v>
      </c>
    </row>
    <row r="87" customFormat="false" ht="15" hidden="false" customHeight="false" outlineLevel="0" collapsed="false">
      <c r="B87" s="75" t="s">
        <v>921</v>
      </c>
      <c r="C87" s="30" t="s">
        <v>669</v>
      </c>
      <c r="D87" s="75" t="s">
        <v>670</v>
      </c>
      <c r="E87" s="75" t="s">
        <v>332</v>
      </c>
      <c r="F87" s="76" t="n">
        <v>1107.75</v>
      </c>
    </row>
    <row r="88" customFormat="false" ht="15" hidden="false" customHeight="false" outlineLevel="0" collapsed="false">
      <c r="B88" s="75" t="s">
        <v>922</v>
      </c>
      <c r="C88" s="30" t="s">
        <v>663</v>
      </c>
      <c r="D88" s="75" t="s">
        <v>664</v>
      </c>
      <c r="E88" s="75" t="s">
        <v>332</v>
      </c>
      <c r="F88" s="76" t="n">
        <v>1560</v>
      </c>
    </row>
    <row r="89" customFormat="false" ht="15" hidden="false" customHeight="false" outlineLevel="0" collapsed="false">
      <c r="B89" s="75" t="s">
        <v>923</v>
      </c>
      <c r="C89" s="30" t="s">
        <v>667</v>
      </c>
      <c r="D89" s="75" t="s">
        <v>668</v>
      </c>
      <c r="E89" s="75" t="s">
        <v>332</v>
      </c>
      <c r="F89" s="76" t="n">
        <v>1097.75</v>
      </c>
    </row>
    <row r="90" customFormat="false" ht="15" hidden="false" customHeight="false" outlineLevel="0" collapsed="false">
      <c r="B90" s="75" t="s">
        <v>924</v>
      </c>
      <c r="C90" s="30" t="s">
        <v>675</v>
      </c>
      <c r="D90" s="75" t="s">
        <v>676</v>
      </c>
      <c r="E90" s="75" t="s">
        <v>332</v>
      </c>
      <c r="F90" s="76" t="n">
        <v>1795</v>
      </c>
    </row>
    <row r="91" customFormat="false" ht="15" hidden="false" customHeight="false" outlineLevel="0" collapsed="false">
      <c r="B91" s="75" t="s">
        <v>925</v>
      </c>
      <c r="C91" s="30" t="s">
        <v>671</v>
      </c>
      <c r="D91" s="75" t="s">
        <v>672</v>
      </c>
      <c r="E91" s="75" t="s">
        <v>332</v>
      </c>
      <c r="F91" s="76" t="n">
        <v>811.17</v>
      </c>
    </row>
    <row r="92" customFormat="false" ht="15" hidden="false" customHeight="false" outlineLevel="0" collapsed="false">
      <c r="B92" s="75" t="s">
        <v>926</v>
      </c>
      <c r="C92" s="30" t="s">
        <v>679</v>
      </c>
      <c r="D92" s="75" t="s">
        <v>680</v>
      </c>
      <c r="E92" s="75" t="s">
        <v>332</v>
      </c>
      <c r="F92" s="76" t="n">
        <v>1225.25</v>
      </c>
    </row>
    <row r="93" customFormat="false" ht="15" hidden="false" customHeight="false" outlineLevel="0" collapsed="false">
      <c r="B93" s="75" t="s">
        <v>927</v>
      </c>
      <c r="C93" s="30" t="s">
        <v>673</v>
      </c>
      <c r="D93" s="75" t="s">
        <v>674</v>
      </c>
      <c r="E93" s="75" t="s">
        <v>332</v>
      </c>
      <c r="F93" s="76" t="n">
        <v>1695</v>
      </c>
    </row>
    <row r="94" customFormat="false" ht="15" hidden="false" customHeight="false" outlineLevel="0" collapsed="false">
      <c r="B94" s="75" t="s">
        <v>928</v>
      </c>
      <c r="C94" s="30" t="s">
        <v>677</v>
      </c>
      <c r="D94" s="75" t="s">
        <v>678</v>
      </c>
      <c r="E94" s="75" t="s">
        <v>332</v>
      </c>
      <c r="F94" s="76" t="n">
        <v>1157.6</v>
      </c>
    </row>
    <row r="95" customFormat="false" ht="15" hidden="false" customHeight="false" outlineLevel="0" collapsed="false">
      <c r="B95" s="75" t="s">
        <v>929</v>
      </c>
      <c r="C95" s="30" t="s">
        <v>685</v>
      </c>
      <c r="D95" s="75" t="s">
        <v>686</v>
      </c>
      <c r="E95" s="75" t="s">
        <v>332</v>
      </c>
      <c r="F95" s="76" t="n">
        <v>1290.38</v>
      </c>
    </row>
    <row r="96" customFormat="false" ht="15" hidden="false" customHeight="false" outlineLevel="0" collapsed="false">
      <c r="B96" s="75" t="s">
        <v>930</v>
      </c>
      <c r="C96" s="30" t="s">
        <v>681</v>
      </c>
      <c r="D96" s="75" t="s">
        <v>682</v>
      </c>
      <c r="E96" s="75" t="s">
        <v>332</v>
      </c>
      <c r="F96" s="76" t="n">
        <v>907.63</v>
      </c>
    </row>
    <row r="97" customFormat="false" ht="15" hidden="false" customHeight="false" outlineLevel="0" collapsed="false">
      <c r="B97" s="75" t="s">
        <v>931</v>
      </c>
      <c r="C97" s="30" t="s">
        <v>683</v>
      </c>
      <c r="D97" s="75" t="s">
        <v>684</v>
      </c>
      <c r="E97" s="75" t="s">
        <v>332</v>
      </c>
      <c r="F97" s="76" t="n">
        <v>1240.13</v>
      </c>
    </row>
    <row r="98" customFormat="false" ht="15" hidden="false" customHeight="false" outlineLevel="0" collapsed="false">
      <c r="B98" s="75" t="s">
        <v>932</v>
      </c>
      <c r="C98" s="30" t="s">
        <v>687</v>
      </c>
      <c r="D98" s="75" t="s">
        <v>689</v>
      </c>
      <c r="E98" s="75" t="s">
        <v>332</v>
      </c>
      <c r="F98" s="76" t="n">
        <v>1347.75</v>
      </c>
      <c r="G98" s="10" t="s">
        <v>933</v>
      </c>
    </row>
    <row r="99" customFormat="false" ht="15" hidden="false" customHeight="false" outlineLevel="0" collapsed="false">
      <c r="B99" s="75" t="s">
        <v>934</v>
      </c>
      <c r="C99" s="30" t="s">
        <v>687</v>
      </c>
      <c r="D99" s="75" t="s">
        <v>688</v>
      </c>
      <c r="E99" s="75" t="s">
        <v>332</v>
      </c>
      <c r="F99" s="76" t="n">
        <v>1315.13</v>
      </c>
    </row>
    <row r="100" customFormat="false" ht="15" hidden="false" customHeight="false" outlineLevel="0" collapsed="false">
      <c r="B100" s="75" t="s">
        <v>935</v>
      </c>
      <c r="C100" s="30" t="s">
        <v>694</v>
      </c>
      <c r="D100" s="75" t="s">
        <v>695</v>
      </c>
      <c r="E100" s="75" t="s">
        <v>332</v>
      </c>
      <c r="F100" s="76" t="n">
        <v>1725</v>
      </c>
    </row>
    <row r="101" customFormat="false" ht="15" hidden="false" customHeight="false" outlineLevel="0" collapsed="false">
      <c r="B101" s="75" t="s">
        <v>936</v>
      </c>
      <c r="C101" s="30" t="s">
        <v>690</v>
      </c>
      <c r="D101" s="75" t="s">
        <v>691</v>
      </c>
      <c r="E101" s="75" t="s">
        <v>332</v>
      </c>
      <c r="F101" s="76" t="n">
        <v>689.14</v>
      </c>
    </row>
    <row r="102" customFormat="false" ht="15" hidden="false" customHeight="false" outlineLevel="0" collapsed="false">
      <c r="B102" s="75" t="s">
        <v>937</v>
      </c>
      <c r="C102" s="30" t="s">
        <v>698</v>
      </c>
      <c r="D102" s="75" t="s">
        <v>699</v>
      </c>
      <c r="E102" s="75" t="s">
        <v>332</v>
      </c>
      <c r="F102" s="76" t="n">
        <v>1492.75</v>
      </c>
    </row>
    <row r="103" customFormat="false" ht="15" hidden="false" customHeight="false" outlineLevel="0" collapsed="false">
      <c r="B103" s="75" t="s">
        <v>938</v>
      </c>
      <c r="C103" s="30" t="s">
        <v>692</v>
      </c>
      <c r="D103" s="75" t="s">
        <v>693</v>
      </c>
      <c r="E103" s="75" t="s">
        <v>332</v>
      </c>
      <c r="F103" s="76" t="n">
        <v>1660</v>
      </c>
    </row>
    <row r="104" customFormat="false" ht="15" hidden="false" customHeight="false" outlineLevel="0" collapsed="false">
      <c r="B104" s="75" t="s">
        <v>939</v>
      </c>
      <c r="C104" s="30" t="s">
        <v>696</v>
      </c>
      <c r="D104" s="75" t="s">
        <v>697</v>
      </c>
      <c r="E104" s="75" t="s">
        <v>332</v>
      </c>
      <c r="F104" s="76" t="n">
        <v>1342.95</v>
      </c>
    </row>
    <row r="105" customFormat="false" ht="15" hidden="false" customHeight="false" outlineLevel="0" collapsed="false">
      <c r="B105" s="75" t="s">
        <v>940</v>
      </c>
      <c r="C105" s="30" t="s">
        <v>704</v>
      </c>
      <c r="D105" s="75" t="s">
        <v>705</v>
      </c>
      <c r="E105" s="75" t="s">
        <v>332</v>
      </c>
      <c r="F105" s="76" t="n">
        <v>1945</v>
      </c>
    </row>
    <row r="106" customFormat="false" ht="15" hidden="false" customHeight="false" outlineLevel="0" collapsed="false">
      <c r="B106" s="75" t="s">
        <v>941</v>
      </c>
      <c r="C106" s="30" t="s">
        <v>700</v>
      </c>
      <c r="D106" s="75" t="s">
        <v>701</v>
      </c>
      <c r="E106" s="75" t="s">
        <v>332</v>
      </c>
      <c r="F106" s="76" t="n">
        <v>757.75</v>
      </c>
    </row>
    <row r="107" customFormat="false" ht="15" hidden="false" customHeight="false" outlineLevel="0" collapsed="false">
      <c r="B107" s="75" t="s">
        <v>942</v>
      </c>
      <c r="C107" s="30" t="s">
        <v>708</v>
      </c>
      <c r="D107" s="75" t="s">
        <v>709</v>
      </c>
      <c r="E107" s="75" t="s">
        <v>332</v>
      </c>
      <c r="F107" s="76" t="n">
        <v>1737.95</v>
      </c>
    </row>
    <row r="108" customFormat="false" ht="15" hidden="false" customHeight="false" outlineLevel="0" collapsed="false">
      <c r="B108" s="75" t="s">
        <v>943</v>
      </c>
      <c r="C108" s="30" t="s">
        <v>702</v>
      </c>
      <c r="D108" s="75" t="s">
        <v>703</v>
      </c>
      <c r="E108" s="75" t="s">
        <v>332</v>
      </c>
      <c r="F108" s="76" t="n">
        <v>1925</v>
      </c>
    </row>
    <row r="109" customFormat="false" ht="15" hidden="false" customHeight="false" outlineLevel="0" collapsed="false">
      <c r="B109" s="75" t="s">
        <v>944</v>
      </c>
      <c r="C109" s="30" t="s">
        <v>706</v>
      </c>
      <c r="D109" s="75" t="s">
        <v>707</v>
      </c>
      <c r="E109" s="75" t="s">
        <v>332</v>
      </c>
      <c r="F109" s="76" t="n">
        <v>1552.75</v>
      </c>
    </row>
    <row r="110" customFormat="false" ht="15" hidden="false" customHeight="false" outlineLevel="0" collapsed="false">
      <c r="B110" s="75" t="s">
        <v>945</v>
      </c>
      <c r="C110" s="30" t="s">
        <v>714</v>
      </c>
      <c r="D110" s="75" t="s">
        <v>715</v>
      </c>
      <c r="E110" s="75" t="s">
        <v>332</v>
      </c>
      <c r="F110" s="76" t="n">
        <v>1487.75</v>
      </c>
    </row>
    <row r="111" customFormat="false" ht="15" hidden="false" customHeight="false" outlineLevel="0" collapsed="false">
      <c r="B111" s="75" t="s">
        <v>946</v>
      </c>
      <c r="C111" s="30" t="s">
        <v>710</v>
      </c>
      <c r="D111" s="75" t="s">
        <v>711</v>
      </c>
      <c r="E111" s="75" t="s">
        <v>332</v>
      </c>
      <c r="F111" s="76" t="n">
        <v>864.25</v>
      </c>
    </row>
    <row r="112" customFormat="false" ht="15" hidden="false" customHeight="false" outlineLevel="0" collapsed="false">
      <c r="B112" s="75" t="s">
        <v>947</v>
      </c>
      <c r="C112" s="30" t="s">
        <v>718</v>
      </c>
      <c r="D112" s="75" t="s">
        <v>719</v>
      </c>
      <c r="E112" s="75" t="s">
        <v>332</v>
      </c>
      <c r="F112" s="76" t="n">
        <v>1980.38</v>
      </c>
    </row>
    <row r="113" customFormat="false" ht="15" hidden="false" customHeight="false" outlineLevel="0" collapsed="false">
      <c r="B113" s="75" t="s">
        <v>948</v>
      </c>
      <c r="C113" s="30" t="s">
        <v>712</v>
      </c>
      <c r="D113" s="75" t="s">
        <v>713</v>
      </c>
      <c r="E113" s="75" t="s">
        <v>332</v>
      </c>
      <c r="F113" s="76" t="n">
        <v>1390.45</v>
      </c>
    </row>
    <row r="114" customFormat="false" ht="15" hidden="false" customHeight="false" outlineLevel="0" collapsed="false">
      <c r="B114" s="75" t="s">
        <v>949</v>
      </c>
      <c r="C114" s="30" t="s">
        <v>716</v>
      </c>
      <c r="D114" s="75" t="s">
        <v>717</v>
      </c>
      <c r="E114" s="75" t="s">
        <v>332</v>
      </c>
      <c r="F114" s="76" t="n">
        <v>1667.6</v>
      </c>
    </row>
    <row r="115" customFormat="false" ht="15" hidden="false" customHeight="false" outlineLevel="0" collapsed="false">
      <c r="B115" s="75" t="s">
        <v>950</v>
      </c>
      <c r="C115" s="30" t="s">
        <v>951</v>
      </c>
      <c r="D115" s="75" t="s">
        <v>952</v>
      </c>
      <c r="E115" s="75" t="s">
        <v>953</v>
      </c>
      <c r="F115" s="76" t="n">
        <v>353.9</v>
      </c>
    </row>
    <row r="116" customFormat="false" ht="15" hidden="false" customHeight="false" outlineLevel="0" collapsed="false">
      <c r="B116" s="75" t="s">
        <v>954</v>
      </c>
      <c r="C116" s="30" t="s">
        <v>955</v>
      </c>
      <c r="D116" s="75" t="s">
        <v>956</v>
      </c>
      <c r="E116" s="75" t="s">
        <v>332</v>
      </c>
      <c r="F116" s="76" t="n">
        <v>131.82</v>
      </c>
    </row>
    <row r="117" customFormat="false" ht="15" hidden="false" customHeight="false" outlineLevel="0" collapsed="false">
      <c r="B117" s="75" t="s">
        <v>957</v>
      </c>
      <c r="C117" s="30" t="s">
        <v>644</v>
      </c>
      <c r="D117" s="75" t="s">
        <v>645</v>
      </c>
      <c r="E117" s="75" t="s">
        <v>332</v>
      </c>
      <c r="F117" s="76" t="n">
        <v>113.79</v>
      </c>
    </row>
    <row r="118" customFormat="false" ht="15" hidden="false" customHeight="false" outlineLevel="0" collapsed="false">
      <c r="B118" s="75" t="s">
        <v>958</v>
      </c>
      <c r="C118" s="30" t="s">
        <v>959</v>
      </c>
      <c r="D118" s="75" t="s">
        <v>960</v>
      </c>
      <c r="E118" s="75" t="s">
        <v>332</v>
      </c>
      <c r="F118" s="76" t="n">
        <v>113.79</v>
      </c>
    </row>
    <row r="119" customFormat="false" ht="15" hidden="false" customHeight="false" outlineLevel="0" collapsed="false">
      <c r="B119" s="75" t="s">
        <v>961</v>
      </c>
      <c r="C119" s="30" t="s">
        <v>654</v>
      </c>
      <c r="D119" s="75" t="s">
        <v>655</v>
      </c>
      <c r="E119" s="75" t="s">
        <v>332</v>
      </c>
      <c r="F119" s="76" t="n">
        <v>247.93</v>
      </c>
    </row>
    <row r="120" customFormat="false" ht="15" hidden="false" customHeight="false" outlineLevel="0" collapsed="false">
      <c r="B120" s="75" t="s">
        <v>962</v>
      </c>
      <c r="C120" s="30" t="s">
        <v>642</v>
      </c>
      <c r="D120" s="75" t="s">
        <v>643</v>
      </c>
      <c r="E120" s="75" t="s">
        <v>332</v>
      </c>
      <c r="F120" s="76" t="n">
        <v>607.68</v>
      </c>
    </row>
    <row r="121" customFormat="false" ht="15" hidden="false" customHeight="false" outlineLevel="0" collapsed="false">
      <c r="B121" s="75" t="s">
        <v>963</v>
      </c>
      <c r="C121" s="30" t="s">
        <v>652</v>
      </c>
      <c r="D121" s="75" t="s">
        <v>653</v>
      </c>
      <c r="E121" s="75" t="s">
        <v>332</v>
      </c>
      <c r="F121" s="76" t="n">
        <v>745.13</v>
      </c>
    </row>
    <row r="122" customFormat="false" ht="15" hidden="false" customHeight="false" outlineLevel="0" collapsed="false">
      <c r="B122" s="75" t="s">
        <v>964</v>
      </c>
      <c r="C122" s="30" t="s">
        <v>965</v>
      </c>
      <c r="D122" s="75" t="s">
        <v>966</v>
      </c>
      <c r="E122" s="75" t="s">
        <v>332</v>
      </c>
      <c r="F122" s="76" t="n">
        <v>757.88</v>
      </c>
    </row>
    <row r="123" customFormat="false" ht="15" hidden="false" customHeight="false" outlineLevel="0" collapsed="false">
      <c r="B123" s="75" t="s">
        <v>967</v>
      </c>
      <c r="C123" s="30" t="s">
        <v>968</v>
      </c>
      <c r="D123" s="75" t="s">
        <v>969</v>
      </c>
      <c r="E123" s="75" t="s">
        <v>332</v>
      </c>
      <c r="F123" s="76" t="n">
        <v>806.2</v>
      </c>
    </row>
    <row r="124" customFormat="false" ht="15" hidden="false" customHeight="false" outlineLevel="0" collapsed="false">
      <c r="B124" s="75" t="s">
        <v>970</v>
      </c>
      <c r="C124" s="30" t="s">
        <v>971</v>
      </c>
      <c r="D124" s="75" t="s">
        <v>972</v>
      </c>
      <c r="E124" s="75" t="s">
        <v>332</v>
      </c>
      <c r="F124" s="76" t="n">
        <v>912.65</v>
      </c>
    </row>
    <row r="125" customFormat="false" ht="15" hidden="false" customHeight="false" outlineLevel="0" collapsed="false">
      <c r="B125" s="75" t="s">
        <v>973</v>
      </c>
      <c r="C125" s="30" t="s">
        <v>974</v>
      </c>
      <c r="D125" s="75" t="s">
        <v>975</v>
      </c>
      <c r="E125" s="75" t="s">
        <v>332</v>
      </c>
      <c r="F125" s="76" t="n">
        <v>125.88</v>
      </c>
    </row>
    <row r="126" customFormat="false" ht="15" hidden="false" customHeight="false" outlineLevel="0" collapsed="false">
      <c r="B126" s="75" t="s">
        <v>976</v>
      </c>
      <c r="C126" s="30" t="s">
        <v>640</v>
      </c>
      <c r="D126" s="75" t="s">
        <v>641</v>
      </c>
      <c r="E126" s="75" t="s">
        <v>332</v>
      </c>
      <c r="F126" s="76" t="n">
        <v>61.43</v>
      </c>
    </row>
    <row r="127" customFormat="false" ht="15" hidden="false" customHeight="false" outlineLevel="0" collapsed="false">
      <c r="B127" s="75" t="s">
        <v>977</v>
      </c>
      <c r="C127" s="30" t="s">
        <v>978</v>
      </c>
      <c r="D127" s="75" t="s">
        <v>979</v>
      </c>
      <c r="E127" s="75" t="s">
        <v>332</v>
      </c>
      <c r="F127" s="76" t="n">
        <v>77.64</v>
      </c>
    </row>
    <row r="128" customFormat="false" ht="15" hidden="false" customHeight="false" outlineLevel="0" collapsed="false">
      <c r="B128" s="75" t="s">
        <v>980</v>
      </c>
      <c r="C128" s="30" t="s">
        <v>981</v>
      </c>
      <c r="D128" s="75" t="s">
        <v>982</v>
      </c>
      <c r="E128" s="75" t="s">
        <v>332</v>
      </c>
      <c r="F128" s="76" t="n">
        <v>276.88</v>
      </c>
    </row>
    <row r="129" customFormat="false" ht="15" hidden="false" customHeight="false" outlineLevel="0" collapsed="false">
      <c r="B129" s="75" t="s">
        <v>983</v>
      </c>
      <c r="C129" s="30" t="s">
        <v>650</v>
      </c>
      <c r="D129" s="75" t="s">
        <v>651</v>
      </c>
      <c r="E129" s="75" t="s">
        <v>332</v>
      </c>
      <c r="F129" s="76" t="n">
        <v>427.87</v>
      </c>
    </row>
    <row r="130" customFormat="false" ht="15" hidden="false" customHeight="false" outlineLevel="0" collapsed="false">
      <c r="B130" s="75" t="s">
        <v>984</v>
      </c>
      <c r="C130" s="30" t="s">
        <v>985</v>
      </c>
      <c r="D130" s="75" t="s">
        <v>986</v>
      </c>
      <c r="E130" s="75" t="s">
        <v>332</v>
      </c>
      <c r="F130" s="76" t="n">
        <v>202.2</v>
      </c>
    </row>
    <row r="131" customFormat="false" ht="15" hidden="false" customHeight="false" outlineLevel="0" collapsed="false">
      <c r="B131" s="75" t="s">
        <v>987</v>
      </c>
      <c r="C131" s="30" t="s">
        <v>577</v>
      </c>
      <c r="D131" s="75" t="s">
        <v>578</v>
      </c>
      <c r="E131" s="75" t="s">
        <v>332</v>
      </c>
      <c r="F131" s="76" t="n">
        <v>250.77</v>
      </c>
    </row>
    <row r="132" customFormat="false" ht="15" hidden="false" customHeight="false" outlineLevel="0" collapsed="false">
      <c r="B132" s="75" t="s">
        <v>988</v>
      </c>
      <c r="C132" s="30" t="s">
        <v>989</v>
      </c>
      <c r="D132" s="75" t="s">
        <v>990</v>
      </c>
      <c r="E132" s="75" t="s">
        <v>332</v>
      </c>
      <c r="F132" s="76" t="n">
        <v>842.75</v>
      </c>
    </row>
    <row r="133" customFormat="false" ht="15" hidden="false" customHeight="false" outlineLevel="0" collapsed="false">
      <c r="B133" s="75" t="s">
        <v>991</v>
      </c>
      <c r="C133" s="30" t="s">
        <v>992</v>
      </c>
      <c r="D133" s="75" t="s">
        <v>993</v>
      </c>
      <c r="E133" s="75" t="s">
        <v>332</v>
      </c>
      <c r="F133" s="76" t="n">
        <v>1157.75</v>
      </c>
    </row>
    <row r="134" customFormat="false" ht="15" hidden="false" customHeight="false" outlineLevel="0" collapsed="false">
      <c r="B134" s="75" t="s">
        <v>994</v>
      </c>
      <c r="C134" s="30" t="s">
        <v>995</v>
      </c>
      <c r="D134" s="75" t="s">
        <v>996</v>
      </c>
      <c r="E134" s="75" t="s">
        <v>332</v>
      </c>
      <c r="F134" s="76" t="n">
        <v>1270.13</v>
      </c>
    </row>
    <row r="135" customFormat="false" ht="15" hidden="false" customHeight="false" outlineLevel="0" collapsed="false">
      <c r="B135" s="75" t="s">
        <v>997</v>
      </c>
      <c r="C135" s="30" t="s">
        <v>998</v>
      </c>
      <c r="D135" s="75" t="s">
        <v>999</v>
      </c>
      <c r="E135" s="75" t="s">
        <v>332</v>
      </c>
      <c r="F135" s="76" t="n">
        <v>1425.08</v>
      </c>
    </row>
    <row r="136" customFormat="false" ht="15" hidden="false" customHeight="false" outlineLevel="0" collapsed="false">
      <c r="B136" s="75" t="s">
        <v>1000</v>
      </c>
      <c r="C136" s="30" t="s">
        <v>1001</v>
      </c>
      <c r="D136" s="75" t="s">
        <v>1002</v>
      </c>
      <c r="E136" s="75" t="s">
        <v>332</v>
      </c>
      <c r="F136" s="76" t="n">
        <v>1479.6</v>
      </c>
    </row>
    <row r="137" customFormat="false" ht="22.5" hidden="false" customHeight="true" outlineLevel="0" collapsed="false">
      <c r="B137" s="75" t="s">
        <v>901</v>
      </c>
      <c r="C137" s="30" t="s">
        <v>579</v>
      </c>
      <c r="D137" s="75" t="s">
        <v>580</v>
      </c>
      <c r="E137" s="75" t="s">
        <v>332</v>
      </c>
      <c r="F137" s="76" t="n">
        <v>1001.29</v>
      </c>
      <c r="G137" s="10" t="s">
        <v>1003</v>
      </c>
    </row>
    <row r="138" customFormat="false" ht="15" hidden="false" customHeight="false" outlineLevel="0" collapsed="false">
      <c r="B138" s="75" t="s">
        <v>1004</v>
      </c>
      <c r="C138" s="30" t="s">
        <v>567</v>
      </c>
      <c r="D138" s="75" t="s">
        <v>568</v>
      </c>
      <c r="E138" s="75" t="s">
        <v>332</v>
      </c>
      <c r="F138" s="76" t="n">
        <v>1242.9</v>
      </c>
    </row>
    <row r="139" customFormat="false" ht="15" hidden="false" customHeight="false" outlineLevel="0" collapsed="false">
      <c r="B139" s="75" t="s">
        <v>1005</v>
      </c>
      <c r="C139" s="30" t="s">
        <v>569</v>
      </c>
      <c r="D139" s="75" t="s">
        <v>570</v>
      </c>
      <c r="E139" s="75" t="s">
        <v>332</v>
      </c>
      <c r="F139" s="76" t="n">
        <v>1502.53</v>
      </c>
    </row>
    <row r="140" customFormat="false" ht="15" hidden="false" customHeight="false" outlineLevel="0" collapsed="false">
      <c r="B140" s="75" t="s">
        <v>1006</v>
      </c>
      <c r="C140" s="30" t="s">
        <v>571</v>
      </c>
      <c r="D140" s="75" t="s">
        <v>572</v>
      </c>
      <c r="E140" s="75" t="s">
        <v>332</v>
      </c>
      <c r="F140" s="76" t="n">
        <v>1567.75</v>
      </c>
    </row>
    <row r="141" customFormat="false" ht="15" hidden="false" customHeight="false" outlineLevel="0" collapsed="false">
      <c r="B141" s="75" t="s">
        <v>1007</v>
      </c>
      <c r="C141" s="30" t="s">
        <v>573</v>
      </c>
      <c r="D141" s="75" t="s">
        <v>574</v>
      </c>
      <c r="E141" s="75" t="s">
        <v>332</v>
      </c>
      <c r="F141" s="76" t="n">
        <v>1625.1</v>
      </c>
    </row>
    <row r="142" customFormat="false" ht="15" hidden="false" customHeight="false" outlineLevel="0" collapsed="false">
      <c r="B142" s="75" t="s">
        <v>1008</v>
      </c>
      <c r="C142" s="30" t="s">
        <v>575</v>
      </c>
      <c r="D142" s="75" t="s">
        <v>576</v>
      </c>
      <c r="E142" s="75" t="s">
        <v>332</v>
      </c>
      <c r="F142" s="76" t="n">
        <v>456.33</v>
      </c>
    </row>
    <row r="143" customFormat="false" ht="15" hidden="false" customHeight="false" outlineLevel="0" collapsed="false">
      <c r="B143" s="75" t="s">
        <v>1009</v>
      </c>
      <c r="C143" s="30" t="s">
        <v>581</v>
      </c>
      <c r="D143" s="75" t="s">
        <v>582</v>
      </c>
      <c r="E143" s="75" t="s">
        <v>332</v>
      </c>
      <c r="F143" s="76" t="n">
        <v>62.94</v>
      </c>
    </row>
    <row r="144" customFormat="false" ht="15" hidden="false" customHeight="false" outlineLevel="0" collapsed="false">
      <c r="B144" s="75" t="s">
        <v>1010</v>
      </c>
      <c r="C144" s="30" t="s">
        <v>1011</v>
      </c>
      <c r="D144" s="75" t="s">
        <v>1012</v>
      </c>
      <c r="E144" s="75" t="s">
        <v>332</v>
      </c>
      <c r="F144" s="76" t="n">
        <v>30.72</v>
      </c>
    </row>
    <row r="145" customFormat="false" ht="15" hidden="false" customHeight="false" outlineLevel="0" collapsed="false">
      <c r="B145" s="75" t="s">
        <v>1013</v>
      </c>
      <c r="C145" s="30" t="s">
        <v>1014</v>
      </c>
      <c r="D145" s="75" t="s">
        <v>1015</v>
      </c>
      <c r="E145" s="75" t="s">
        <v>332</v>
      </c>
      <c r="F145" s="76" t="n">
        <v>38.82</v>
      </c>
    </row>
    <row r="146" customFormat="false" ht="15" hidden="false" customHeight="false" outlineLevel="0" collapsed="false">
      <c r="B146" s="75" t="s">
        <v>1016</v>
      </c>
      <c r="C146" s="30" t="s">
        <v>583</v>
      </c>
      <c r="D146" s="75" t="s">
        <v>584</v>
      </c>
      <c r="E146" s="75" t="s">
        <v>332</v>
      </c>
      <c r="F146" s="76" t="n">
        <v>138.44</v>
      </c>
    </row>
    <row r="147" customFormat="false" ht="15" hidden="false" customHeight="false" outlineLevel="0" collapsed="false">
      <c r="B147" s="75" t="s">
        <v>1017</v>
      </c>
      <c r="C147" s="30" t="s">
        <v>585</v>
      </c>
      <c r="D147" s="75" t="s">
        <v>586</v>
      </c>
      <c r="E147" s="75" t="s">
        <v>332</v>
      </c>
      <c r="F147" s="76" t="n">
        <v>213.94</v>
      </c>
    </row>
    <row r="148" customFormat="false" ht="15" hidden="false" customHeight="false" outlineLevel="0" collapsed="false">
      <c r="B148" s="75" t="s">
        <v>1018</v>
      </c>
      <c r="C148" s="30" t="s">
        <v>1019</v>
      </c>
      <c r="D148" s="75" t="s">
        <v>1020</v>
      </c>
      <c r="E148" s="75" t="s">
        <v>332</v>
      </c>
      <c r="F148" s="76" t="n">
        <v>101.1</v>
      </c>
    </row>
    <row r="149" customFormat="false" ht="15" hidden="false" customHeight="false" outlineLevel="0" collapsed="false">
      <c r="B149" s="75" t="s">
        <v>1021</v>
      </c>
      <c r="C149" s="30" t="s">
        <v>1022</v>
      </c>
      <c r="D149" s="75" t="s">
        <v>1023</v>
      </c>
      <c r="E149" s="75" t="s">
        <v>332</v>
      </c>
      <c r="F149" s="76" t="n">
        <v>125.39</v>
      </c>
    </row>
    <row r="150" customFormat="false" ht="15" hidden="false" customHeight="false" outlineLevel="0" collapsed="false">
      <c r="B150" s="75" t="s">
        <v>1024</v>
      </c>
      <c r="C150" s="30" t="s">
        <v>608</v>
      </c>
      <c r="D150" s="75" t="s">
        <v>609</v>
      </c>
      <c r="E150" s="75" t="s">
        <v>332</v>
      </c>
      <c r="F150" s="76" t="n">
        <v>421.38</v>
      </c>
    </row>
    <row r="151" customFormat="false" ht="15" hidden="false" customHeight="false" outlineLevel="0" collapsed="false">
      <c r="B151" s="75" t="s">
        <v>1025</v>
      </c>
      <c r="C151" s="30" t="s">
        <v>610</v>
      </c>
      <c r="D151" s="75" t="s">
        <v>611</v>
      </c>
      <c r="E151" s="75" t="s">
        <v>332</v>
      </c>
      <c r="F151" s="76" t="n">
        <v>578.88</v>
      </c>
    </row>
    <row r="152" customFormat="false" ht="15" hidden="false" customHeight="false" outlineLevel="0" collapsed="false">
      <c r="B152" s="75" t="s">
        <v>1026</v>
      </c>
      <c r="C152" s="30" t="s">
        <v>612</v>
      </c>
      <c r="D152" s="75" t="s">
        <v>613</v>
      </c>
      <c r="E152" s="75" t="s">
        <v>332</v>
      </c>
      <c r="F152" s="76" t="n">
        <v>635.06</v>
      </c>
    </row>
    <row r="153" customFormat="false" ht="15" hidden="false" customHeight="false" outlineLevel="0" collapsed="false">
      <c r="B153" s="75" t="s">
        <v>1027</v>
      </c>
      <c r="C153" s="30" t="s">
        <v>614</v>
      </c>
      <c r="D153" s="75" t="s">
        <v>615</v>
      </c>
      <c r="E153" s="75" t="s">
        <v>332</v>
      </c>
      <c r="F153" s="76" t="n">
        <v>712.54</v>
      </c>
    </row>
    <row r="154" customFormat="false" ht="15" hidden="false" customHeight="false" outlineLevel="0" collapsed="false">
      <c r="B154" s="75" t="s">
        <v>1028</v>
      </c>
      <c r="C154" s="30" t="s">
        <v>616</v>
      </c>
      <c r="D154" s="75" t="s">
        <v>617</v>
      </c>
      <c r="E154" s="75" t="s">
        <v>332</v>
      </c>
      <c r="F154" s="76" t="n">
        <v>739.8</v>
      </c>
    </row>
    <row r="155" customFormat="false" ht="15" hidden="false" customHeight="false" outlineLevel="0" collapsed="false">
      <c r="B155" s="75" t="s">
        <v>1029</v>
      </c>
      <c r="C155" s="30" t="s">
        <v>618</v>
      </c>
      <c r="D155" s="75" t="s">
        <v>619</v>
      </c>
      <c r="E155" s="75" t="s">
        <v>332</v>
      </c>
      <c r="F155" s="76" t="n">
        <v>500.65</v>
      </c>
    </row>
    <row r="156" customFormat="false" ht="15" hidden="false" customHeight="false" outlineLevel="0" collapsed="false">
      <c r="B156" s="75" t="s">
        <v>1030</v>
      </c>
      <c r="C156" s="30" t="s">
        <v>620</v>
      </c>
      <c r="D156" s="75" t="s">
        <v>621</v>
      </c>
      <c r="E156" s="75" t="s">
        <v>332</v>
      </c>
      <c r="F156" s="76" t="n">
        <v>621.45</v>
      </c>
    </row>
    <row r="157" customFormat="false" ht="15" hidden="false" customHeight="false" outlineLevel="0" collapsed="false">
      <c r="B157" s="75" t="s">
        <v>1031</v>
      </c>
      <c r="C157" s="30" t="s">
        <v>622</v>
      </c>
      <c r="D157" s="75" t="s">
        <v>623</v>
      </c>
      <c r="E157" s="75" t="s">
        <v>332</v>
      </c>
      <c r="F157" s="76" t="n">
        <v>751.26</v>
      </c>
    </row>
    <row r="158" customFormat="false" ht="15" hidden="false" customHeight="false" outlineLevel="0" collapsed="false">
      <c r="B158" s="75" t="s">
        <v>1032</v>
      </c>
      <c r="C158" s="30" t="s">
        <v>624</v>
      </c>
      <c r="D158" s="75" t="s">
        <v>625</v>
      </c>
      <c r="E158" s="75" t="s">
        <v>332</v>
      </c>
      <c r="F158" s="76" t="n">
        <v>783.88</v>
      </c>
    </row>
    <row r="160" customFormat="false" ht="15" hidden="false" customHeight="false" outlineLevel="0" collapsed="false">
      <c r="B160" s="3" t="s">
        <v>1033</v>
      </c>
      <c r="C160" s="3"/>
      <c r="D160" s="3"/>
      <c r="E160" s="3"/>
      <c r="F160" s="3"/>
      <c r="G160" s="3"/>
    </row>
    <row r="161" customFormat="false" ht="15" hidden="false" customHeight="false" outlineLevel="0" collapsed="false">
      <c r="B161" s="27" t="s">
        <v>265</v>
      </c>
      <c r="C161" s="27" t="s">
        <v>325</v>
      </c>
      <c r="D161" s="27" t="s">
        <v>326</v>
      </c>
      <c r="E161" s="27" t="s">
        <v>327</v>
      </c>
      <c r="F161" s="27" t="s">
        <v>328</v>
      </c>
      <c r="G161" s="27" t="s">
        <v>753</v>
      </c>
    </row>
    <row r="162" customFormat="false" ht="15" hidden="false" customHeight="false" outlineLevel="0" collapsed="false">
      <c r="B162" s="75" t="s">
        <v>1034</v>
      </c>
      <c r="C162" s="30" t="s">
        <v>330</v>
      </c>
      <c r="D162" s="75" t="s">
        <v>331</v>
      </c>
      <c r="E162" s="75" t="s">
        <v>332</v>
      </c>
      <c r="F162" s="76" t="n">
        <v>56.9</v>
      </c>
    </row>
    <row r="163" customFormat="false" ht="15" hidden="false" customHeight="false" outlineLevel="0" collapsed="false">
      <c r="B163" s="75" t="s">
        <v>1035</v>
      </c>
      <c r="C163" s="30" t="s">
        <v>333</v>
      </c>
      <c r="D163" s="75" t="s">
        <v>334</v>
      </c>
      <c r="E163" s="75" t="s">
        <v>332</v>
      </c>
      <c r="F163" s="76" t="n">
        <v>141.72</v>
      </c>
    </row>
    <row r="164" customFormat="false" ht="15" hidden="false" customHeight="false" outlineLevel="0" collapsed="false">
      <c r="B164" s="75" t="s">
        <v>1036</v>
      </c>
      <c r="C164" s="30" t="s">
        <v>335</v>
      </c>
      <c r="D164" s="75" t="s">
        <v>336</v>
      </c>
      <c r="E164" s="75" t="s">
        <v>332</v>
      </c>
      <c r="F164" s="76" t="n">
        <v>188.94</v>
      </c>
    </row>
    <row r="165" customFormat="false" ht="15" hidden="false" customHeight="false" outlineLevel="0" collapsed="false">
      <c r="B165" s="75" t="s">
        <v>1037</v>
      </c>
      <c r="C165" s="30" t="s">
        <v>337</v>
      </c>
      <c r="D165" s="75" t="s">
        <v>338</v>
      </c>
      <c r="E165" s="75" t="s">
        <v>332</v>
      </c>
      <c r="F165" s="76" t="n">
        <v>263.88</v>
      </c>
    </row>
    <row r="166" customFormat="false" ht="15" hidden="false" customHeight="false" outlineLevel="0" collapsed="false">
      <c r="B166" s="75" t="s">
        <v>1038</v>
      </c>
      <c r="C166" s="30" t="s">
        <v>339</v>
      </c>
      <c r="D166" s="75" t="s">
        <v>340</v>
      </c>
      <c r="E166" s="75" t="s">
        <v>332</v>
      </c>
      <c r="F166" s="76" t="n">
        <v>316.38</v>
      </c>
    </row>
    <row r="167" customFormat="false" ht="15" hidden="false" customHeight="false" outlineLevel="0" collapsed="false">
      <c r="B167" s="75" t="s">
        <v>1039</v>
      </c>
      <c r="C167" s="30" t="s">
        <v>343</v>
      </c>
      <c r="D167" s="75" t="s">
        <v>344</v>
      </c>
      <c r="E167" s="75" t="s">
        <v>332</v>
      </c>
      <c r="F167" s="76" t="n">
        <v>407.75</v>
      </c>
    </row>
    <row r="168" customFormat="false" ht="15" hidden="false" customHeight="false" outlineLevel="0" collapsed="false">
      <c r="B168" s="75" t="s">
        <v>1040</v>
      </c>
      <c r="C168" s="30" t="s">
        <v>345</v>
      </c>
      <c r="D168" s="75" t="s">
        <v>346</v>
      </c>
      <c r="E168" s="75" t="s">
        <v>332</v>
      </c>
      <c r="F168" s="76" t="n">
        <v>467.58</v>
      </c>
    </row>
    <row r="169" customFormat="false" ht="15" hidden="false" customHeight="false" outlineLevel="0" collapsed="false">
      <c r="B169" s="75" t="s">
        <v>1041</v>
      </c>
      <c r="C169" s="30" t="s">
        <v>347</v>
      </c>
      <c r="D169" s="75" t="s">
        <v>348</v>
      </c>
      <c r="E169" s="75" t="s">
        <v>332</v>
      </c>
      <c r="F169" s="76" t="n">
        <v>595.13</v>
      </c>
    </row>
    <row r="170" customFormat="false" ht="15" hidden="false" customHeight="false" outlineLevel="0" collapsed="false">
      <c r="B170" s="75" t="s">
        <v>1042</v>
      </c>
      <c r="C170" s="30" t="s">
        <v>349</v>
      </c>
      <c r="D170" s="75" t="s">
        <v>350</v>
      </c>
      <c r="E170" s="75" t="s">
        <v>332</v>
      </c>
      <c r="F170" s="76" t="n">
        <v>611.08</v>
      </c>
    </row>
    <row r="171" customFormat="false" ht="15" hidden="false" customHeight="false" outlineLevel="0" collapsed="false">
      <c r="B171" s="75" t="s">
        <v>1043</v>
      </c>
      <c r="C171" s="30" t="s">
        <v>351</v>
      </c>
      <c r="D171" s="75" t="s">
        <v>352</v>
      </c>
      <c r="E171" s="75" t="s">
        <v>332</v>
      </c>
      <c r="F171" s="76" t="n">
        <v>657.75</v>
      </c>
    </row>
    <row r="172" customFormat="false" ht="15" hidden="false" customHeight="false" outlineLevel="0" collapsed="false">
      <c r="B172" s="75" t="s">
        <v>1044</v>
      </c>
      <c r="C172" s="30" t="s">
        <v>1045</v>
      </c>
      <c r="D172" s="75" t="s">
        <v>1046</v>
      </c>
      <c r="E172" s="75" t="s">
        <v>332</v>
      </c>
      <c r="F172" s="76" t="n">
        <v>7.81</v>
      </c>
    </row>
    <row r="173" customFormat="false" ht="15" hidden="false" customHeight="false" outlineLevel="0" collapsed="false">
      <c r="B173" s="75" t="s">
        <v>1047</v>
      </c>
      <c r="C173" s="30" t="s">
        <v>359</v>
      </c>
      <c r="D173" s="75" t="s">
        <v>360</v>
      </c>
      <c r="E173" s="75" t="s">
        <v>332</v>
      </c>
      <c r="F173" s="76" t="n">
        <v>69.59</v>
      </c>
    </row>
    <row r="174" customFormat="false" ht="15" hidden="false" customHeight="false" outlineLevel="0" collapsed="false">
      <c r="B174" s="75" t="s">
        <v>1048</v>
      </c>
      <c r="C174" s="30" t="s">
        <v>1049</v>
      </c>
      <c r="D174" s="75" t="s">
        <v>1050</v>
      </c>
      <c r="E174" s="75" t="s">
        <v>332</v>
      </c>
      <c r="F174" s="76" t="n">
        <v>30.61</v>
      </c>
    </row>
    <row r="175" customFormat="false" ht="15" hidden="false" customHeight="false" outlineLevel="0" collapsed="false">
      <c r="B175" s="75" t="s">
        <v>1051</v>
      </c>
      <c r="C175" s="30" t="s">
        <v>1052</v>
      </c>
      <c r="D175" s="75" t="s">
        <v>1053</v>
      </c>
      <c r="E175" s="75" t="s">
        <v>332</v>
      </c>
      <c r="F175" s="76" t="n">
        <v>35.89</v>
      </c>
    </row>
    <row r="176" customFormat="false" ht="15" hidden="false" customHeight="false" outlineLevel="0" collapsed="false">
      <c r="B176" s="75" t="s">
        <v>1054</v>
      </c>
      <c r="C176" s="30" t="s">
        <v>361</v>
      </c>
      <c r="D176" s="75" t="s">
        <v>362</v>
      </c>
      <c r="E176" s="75" t="s">
        <v>332</v>
      </c>
      <c r="F176" s="76" t="n">
        <v>98.63</v>
      </c>
    </row>
    <row r="177" customFormat="false" ht="15" hidden="false" customHeight="false" outlineLevel="0" collapsed="false">
      <c r="B177" s="75" t="s">
        <v>1055</v>
      </c>
      <c r="C177" s="30" t="s">
        <v>1056</v>
      </c>
      <c r="D177" s="75" t="s">
        <v>1057</v>
      </c>
      <c r="E177" s="75" t="s">
        <v>332</v>
      </c>
      <c r="F177" s="76" t="n">
        <v>61.96</v>
      </c>
    </row>
    <row r="178" customFormat="false" ht="15" hidden="false" customHeight="false" outlineLevel="0" collapsed="false">
      <c r="B178" s="75" t="s">
        <v>1058</v>
      </c>
      <c r="C178" s="30" t="s">
        <v>1059</v>
      </c>
      <c r="D178" s="75" t="s">
        <v>1060</v>
      </c>
      <c r="E178" s="75" t="s">
        <v>332</v>
      </c>
      <c r="F178" s="76" t="n">
        <v>71.64</v>
      </c>
    </row>
    <row r="179" customFormat="false" ht="15" hidden="false" customHeight="false" outlineLevel="0" collapsed="false">
      <c r="B179" s="75" t="s">
        <v>1061</v>
      </c>
      <c r="C179" s="30" t="s">
        <v>363</v>
      </c>
      <c r="D179" s="75" t="s">
        <v>364</v>
      </c>
      <c r="E179" s="75" t="s">
        <v>332</v>
      </c>
      <c r="F179" s="76" t="n">
        <v>189.45</v>
      </c>
    </row>
    <row r="180" customFormat="false" ht="15" hidden="false" customHeight="false" outlineLevel="0" collapsed="false">
      <c r="B180" s="75" t="s">
        <v>1062</v>
      </c>
      <c r="C180" s="30" t="s">
        <v>1063</v>
      </c>
      <c r="D180" s="75" t="s">
        <v>1064</v>
      </c>
      <c r="E180" s="75" t="s">
        <v>332</v>
      </c>
      <c r="F180" s="76" t="n">
        <v>92.16</v>
      </c>
    </row>
    <row r="181" customFormat="false" ht="15" hidden="false" customHeight="false" outlineLevel="0" collapsed="false">
      <c r="B181" s="75" t="s">
        <v>1065</v>
      </c>
      <c r="C181" s="30" t="s">
        <v>1066</v>
      </c>
      <c r="D181" s="75" t="s">
        <v>1067</v>
      </c>
      <c r="E181" s="75" t="s">
        <v>332</v>
      </c>
      <c r="F181" s="76" t="n">
        <v>104.35</v>
      </c>
    </row>
    <row r="182" customFormat="false" ht="15" hidden="false" customHeight="false" outlineLevel="0" collapsed="false">
      <c r="B182" s="75" t="s">
        <v>1068</v>
      </c>
      <c r="C182" s="30" t="s">
        <v>365</v>
      </c>
      <c r="D182" s="75" t="s">
        <v>366</v>
      </c>
      <c r="E182" s="75" t="s">
        <v>332</v>
      </c>
      <c r="F182" s="76" t="n">
        <v>492.75</v>
      </c>
    </row>
    <row r="183" customFormat="false" ht="15" hidden="false" customHeight="false" outlineLevel="0" collapsed="false">
      <c r="B183" s="75" t="s">
        <v>1069</v>
      </c>
      <c r="C183" s="30" t="s">
        <v>367</v>
      </c>
      <c r="D183" s="75" t="s">
        <v>368</v>
      </c>
      <c r="E183" s="75" t="s">
        <v>332</v>
      </c>
      <c r="F183" s="76" t="n">
        <v>380.15</v>
      </c>
    </row>
    <row r="184" customFormat="false" ht="15" hidden="false" customHeight="false" outlineLevel="0" collapsed="false">
      <c r="B184" s="75" t="s">
        <v>1070</v>
      </c>
      <c r="C184" s="30" t="s">
        <v>1071</v>
      </c>
      <c r="D184" s="75" t="s">
        <v>1072</v>
      </c>
      <c r="E184" s="75" t="s">
        <v>332</v>
      </c>
      <c r="F184" s="76" t="n">
        <v>16.38</v>
      </c>
    </row>
    <row r="185" customFormat="false" ht="15" hidden="false" customHeight="false" outlineLevel="0" collapsed="false">
      <c r="B185" s="75" t="s">
        <v>1073</v>
      </c>
      <c r="C185" s="30" t="s">
        <v>373</v>
      </c>
      <c r="D185" s="75" t="s">
        <v>374</v>
      </c>
      <c r="E185" s="75" t="s">
        <v>332</v>
      </c>
      <c r="F185" s="76" t="n">
        <v>126.12</v>
      </c>
    </row>
    <row r="186" customFormat="false" ht="15" hidden="false" customHeight="false" outlineLevel="0" collapsed="false">
      <c r="B186" s="75" t="s">
        <v>1074</v>
      </c>
      <c r="C186" s="30" t="s">
        <v>1075</v>
      </c>
      <c r="D186" s="75" t="s">
        <v>1076</v>
      </c>
      <c r="E186" s="75" t="s">
        <v>332</v>
      </c>
      <c r="F186" s="76" t="n">
        <v>66.88</v>
      </c>
    </row>
    <row r="187" customFormat="false" ht="15" hidden="false" customHeight="false" outlineLevel="0" collapsed="false">
      <c r="B187" s="75" t="s">
        <v>1077</v>
      </c>
      <c r="C187" s="30" t="s">
        <v>1078</v>
      </c>
      <c r="D187" s="75" t="s">
        <v>1079</v>
      </c>
      <c r="E187" s="75" t="s">
        <v>332</v>
      </c>
      <c r="F187" s="76" t="n">
        <v>75.2</v>
      </c>
    </row>
    <row r="188" customFormat="false" ht="15" hidden="false" customHeight="false" outlineLevel="0" collapsed="false">
      <c r="B188" s="75" t="s">
        <v>1080</v>
      </c>
      <c r="C188" s="30" t="s">
        <v>376</v>
      </c>
      <c r="D188" s="75" t="s">
        <v>377</v>
      </c>
      <c r="E188" s="75" t="s">
        <v>332</v>
      </c>
      <c r="F188" s="76" t="n">
        <v>695</v>
      </c>
    </row>
    <row r="189" customFormat="false" ht="15" hidden="false" customHeight="false" outlineLevel="0" collapsed="false">
      <c r="B189" s="75" t="s">
        <v>1081</v>
      </c>
      <c r="C189" s="30" t="s">
        <v>378</v>
      </c>
      <c r="D189" s="75" t="s">
        <v>379</v>
      </c>
      <c r="E189" s="75" t="s">
        <v>332</v>
      </c>
      <c r="F189" s="76" t="n">
        <v>725</v>
      </c>
    </row>
    <row r="190" customFormat="false" ht="15" hidden="false" customHeight="false" outlineLevel="0" collapsed="false">
      <c r="B190" s="75" t="s">
        <v>1082</v>
      </c>
      <c r="C190" s="30" t="s">
        <v>380</v>
      </c>
      <c r="D190" s="75" t="s">
        <v>381</v>
      </c>
      <c r="E190" s="75" t="s">
        <v>332</v>
      </c>
      <c r="F190" s="76" t="n">
        <v>752.95</v>
      </c>
    </row>
    <row r="191" customFormat="false" ht="15" hidden="false" customHeight="false" outlineLevel="0" collapsed="false">
      <c r="B191" s="75" t="s">
        <v>1083</v>
      </c>
      <c r="C191" s="30" t="s">
        <v>382</v>
      </c>
      <c r="D191" s="75" t="s">
        <v>383</v>
      </c>
      <c r="E191" s="75" t="s">
        <v>332</v>
      </c>
      <c r="F191" s="76" t="n">
        <v>757.63</v>
      </c>
    </row>
    <row r="192" customFormat="false" ht="15" hidden="false" customHeight="false" outlineLevel="0" collapsed="false">
      <c r="B192" s="75" t="s">
        <v>1084</v>
      </c>
      <c r="C192" s="30" t="s">
        <v>384</v>
      </c>
      <c r="D192" s="75" t="s">
        <v>385</v>
      </c>
      <c r="E192" s="75" t="s">
        <v>332</v>
      </c>
      <c r="F192" s="76" t="n">
        <v>792.75</v>
      </c>
    </row>
    <row r="193" customFormat="false" ht="15" hidden="false" customHeight="false" outlineLevel="0" collapsed="false">
      <c r="B193" s="75" t="s">
        <v>1085</v>
      </c>
      <c r="C193" s="30" t="s">
        <v>386</v>
      </c>
      <c r="D193" s="75" t="s">
        <v>387</v>
      </c>
      <c r="E193" s="75" t="s">
        <v>332</v>
      </c>
      <c r="F193" s="76" t="n">
        <v>807.75</v>
      </c>
    </row>
    <row r="194" customFormat="false" ht="15" hidden="false" customHeight="false" outlineLevel="0" collapsed="false">
      <c r="B194" s="75" t="s">
        <v>1086</v>
      </c>
      <c r="C194" s="30" t="s">
        <v>388</v>
      </c>
      <c r="D194" s="75" t="s">
        <v>389</v>
      </c>
      <c r="E194" s="75" t="s">
        <v>332</v>
      </c>
      <c r="F194" s="76" t="n">
        <v>837.5</v>
      </c>
    </row>
    <row r="195" customFormat="false" ht="15" hidden="false" customHeight="false" outlineLevel="0" collapsed="false">
      <c r="B195" s="75" t="s">
        <v>1087</v>
      </c>
      <c r="C195" s="30" t="s">
        <v>390</v>
      </c>
      <c r="D195" s="75" t="s">
        <v>391</v>
      </c>
      <c r="E195" s="75" t="s">
        <v>332</v>
      </c>
      <c r="F195" s="76" t="n">
        <v>857.75</v>
      </c>
    </row>
    <row r="196" customFormat="false" ht="15" hidden="false" customHeight="false" outlineLevel="0" collapsed="false">
      <c r="B196" s="75" t="s">
        <v>1088</v>
      </c>
      <c r="C196" s="30" t="s">
        <v>392</v>
      </c>
      <c r="D196" s="75" t="s">
        <v>393</v>
      </c>
      <c r="E196" s="75" t="s">
        <v>332</v>
      </c>
      <c r="F196" s="76" t="n">
        <v>945.13</v>
      </c>
    </row>
    <row r="197" customFormat="false" ht="15" hidden="false" customHeight="false" outlineLevel="0" collapsed="false">
      <c r="B197" s="75" t="s">
        <v>1089</v>
      </c>
      <c r="C197" s="30" t="s">
        <v>394</v>
      </c>
      <c r="D197" s="75" t="s">
        <v>395</v>
      </c>
      <c r="E197" s="75" t="s">
        <v>332</v>
      </c>
      <c r="F197" s="76" t="n">
        <v>975.1</v>
      </c>
    </row>
    <row r="198" customFormat="false" ht="15" hidden="false" customHeight="false" outlineLevel="0" collapsed="false">
      <c r="B198" s="75" t="s">
        <v>1090</v>
      </c>
      <c r="C198" s="30" t="s">
        <v>396</v>
      </c>
      <c r="D198" s="75" t="s">
        <v>397</v>
      </c>
      <c r="E198" s="75" t="s">
        <v>332</v>
      </c>
      <c r="F198" s="76" t="n">
        <v>468.19</v>
      </c>
    </row>
    <row r="199" customFormat="false" ht="15" hidden="false" customHeight="false" outlineLevel="0" collapsed="false">
      <c r="B199" s="75" t="s">
        <v>1091</v>
      </c>
      <c r="C199" s="30" t="s">
        <v>398</v>
      </c>
      <c r="D199" s="75" t="s">
        <v>399</v>
      </c>
      <c r="E199" s="75" t="s">
        <v>332</v>
      </c>
      <c r="F199" s="76" t="n">
        <v>429.75</v>
      </c>
    </row>
    <row r="200" customFormat="false" ht="15" hidden="false" customHeight="false" outlineLevel="0" collapsed="false">
      <c r="B200" s="75" t="s">
        <v>1092</v>
      </c>
      <c r="C200" s="30" t="s">
        <v>400</v>
      </c>
      <c r="D200" s="75" t="s">
        <v>401</v>
      </c>
      <c r="E200" s="75" t="s">
        <v>332</v>
      </c>
      <c r="F200" s="76" t="n">
        <v>525.13</v>
      </c>
    </row>
    <row r="201" customFormat="false" ht="15" hidden="false" customHeight="false" outlineLevel="0" collapsed="false">
      <c r="B201" s="75" t="s">
        <v>1093</v>
      </c>
      <c r="C201" s="30" t="s">
        <v>402</v>
      </c>
      <c r="D201" s="75" t="s">
        <v>403</v>
      </c>
      <c r="E201" s="75" t="s">
        <v>332</v>
      </c>
      <c r="F201" s="76" t="n">
        <v>562.95</v>
      </c>
    </row>
    <row r="202" customFormat="false" ht="15" hidden="false" customHeight="false" outlineLevel="0" collapsed="false">
      <c r="B202" s="75" t="s">
        <v>1094</v>
      </c>
      <c r="C202" s="30" t="s">
        <v>355</v>
      </c>
      <c r="D202" s="75" t="s">
        <v>356</v>
      </c>
      <c r="E202" s="75" t="s">
        <v>332</v>
      </c>
      <c r="F202" s="76" t="n">
        <v>142.75</v>
      </c>
    </row>
    <row r="203" customFormat="false" ht="15" hidden="false" customHeight="false" outlineLevel="0" collapsed="false">
      <c r="B203" s="75" t="s">
        <v>1095</v>
      </c>
      <c r="C203" s="30" t="s">
        <v>411</v>
      </c>
      <c r="D203" s="75" t="s">
        <v>412</v>
      </c>
      <c r="E203" s="75" t="s">
        <v>332</v>
      </c>
      <c r="F203" s="76" t="n">
        <v>155.37</v>
      </c>
    </row>
    <row r="204" customFormat="false" ht="15" hidden="false" customHeight="false" outlineLevel="0" collapsed="false">
      <c r="B204" s="75" t="s">
        <v>1096</v>
      </c>
      <c r="C204" s="30" t="s">
        <v>1097</v>
      </c>
      <c r="D204" s="75" t="s">
        <v>1098</v>
      </c>
      <c r="E204" s="75" t="s">
        <v>332</v>
      </c>
      <c r="F204" s="76" t="n">
        <v>78.06</v>
      </c>
    </row>
    <row r="205" customFormat="false" ht="15" hidden="false" customHeight="false" outlineLevel="0" collapsed="false">
      <c r="B205" s="75" t="s">
        <v>1099</v>
      </c>
      <c r="C205" s="30" t="s">
        <v>1100</v>
      </c>
      <c r="D205" s="75" t="s">
        <v>1101</v>
      </c>
      <c r="E205" s="75" t="s">
        <v>332</v>
      </c>
      <c r="F205" s="76" t="n">
        <v>96.25</v>
      </c>
    </row>
    <row r="206" customFormat="false" ht="15" hidden="false" customHeight="false" outlineLevel="0" collapsed="false">
      <c r="B206" s="75" t="s">
        <v>1102</v>
      </c>
      <c r="C206" s="30" t="s">
        <v>413</v>
      </c>
      <c r="D206" s="75" t="s">
        <v>414</v>
      </c>
      <c r="E206" s="75" t="s">
        <v>332</v>
      </c>
      <c r="F206" s="76" t="n">
        <v>193.7</v>
      </c>
    </row>
    <row r="207" customFormat="false" ht="15" hidden="false" customHeight="false" outlineLevel="0" collapsed="false">
      <c r="B207" s="75" t="s">
        <v>1103</v>
      </c>
      <c r="C207" s="30" t="s">
        <v>1104</v>
      </c>
      <c r="D207" s="75" t="s">
        <v>1105</v>
      </c>
      <c r="E207" s="75" t="s">
        <v>332</v>
      </c>
      <c r="F207" s="76" t="n">
        <v>122.23</v>
      </c>
    </row>
    <row r="208" customFormat="false" ht="15" hidden="false" customHeight="false" outlineLevel="0" collapsed="false">
      <c r="B208" s="75" t="s">
        <v>1106</v>
      </c>
      <c r="C208" s="30" t="s">
        <v>1107</v>
      </c>
      <c r="D208" s="75" t="s">
        <v>1108</v>
      </c>
      <c r="E208" s="75" t="s">
        <v>332</v>
      </c>
      <c r="F208" s="76" t="n">
        <v>152.96</v>
      </c>
    </row>
    <row r="209" customFormat="false" ht="15" hidden="false" customHeight="false" outlineLevel="0" collapsed="false">
      <c r="B209" s="75" t="s">
        <v>1109</v>
      </c>
      <c r="C209" s="30" t="s">
        <v>415</v>
      </c>
      <c r="D209" s="75" t="s">
        <v>416</v>
      </c>
      <c r="E209" s="75" t="s">
        <v>332</v>
      </c>
      <c r="F209" s="76" t="n">
        <v>353.32</v>
      </c>
    </row>
    <row r="210" customFormat="false" ht="15" hidden="false" customHeight="false" outlineLevel="0" collapsed="false">
      <c r="B210" s="75" t="s">
        <v>1110</v>
      </c>
      <c r="C210" s="30" t="s">
        <v>1111</v>
      </c>
      <c r="D210" s="75" t="s">
        <v>1112</v>
      </c>
      <c r="E210" s="75" t="s">
        <v>332</v>
      </c>
      <c r="F210" s="76" t="n">
        <v>169.29</v>
      </c>
    </row>
    <row r="211" customFormat="false" ht="15" hidden="false" customHeight="false" outlineLevel="0" collapsed="false">
      <c r="B211" s="75" t="s">
        <v>1113</v>
      </c>
      <c r="C211" s="30" t="s">
        <v>1114</v>
      </c>
      <c r="D211" s="75" t="s">
        <v>1115</v>
      </c>
      <c r="E211" s="75" t="s">
        <v>332</v>
      </c>
      <c r="F211" s="76" t="n">
        <v>209.66</v>
      </c>
    </row>
    <row r="212" customFormat="false" ht="15" hidden="false" customHeight="false" outlineLevel="0" collapsed="false">
      <c r="B212" s="75" t="s">
        <v>1116</v>
      </c>
      <c r="C212" s="30" t="s">
        <v>417</v>
      </c>
      <c r="D212" s="75" t="s">
        <v>418</v>
      </c>
      <c r="E212" s="75" t="s">
        <v>332</v>
      </c>
      <c r="F212" s="76" t="n">
        <v>527.95</v>
      </c>
    </row>
    <row r="213" customFormat="false" ht="15" hidden="false" customHeight="false" outlineLevel="0" collapsed="false">
      <c r="B213" s="75" t="s">
        <v>1117</v>
      </c>
      <c r="C213" s="30" t="s">
        <v>419</v>
      </c>
      <c r="D213" s="75" t="s">
        <v>420</v>
      </c>
      <c r="E213" s="75" t="s">
        <v>332</v>
      </c>
      <c r="F213" s="76" t="n">
        <v>457.17</v>
      </c>
    </row>
    <row r="214" customFormat="false" ht="15" hidden="false" customHeight="false" outlineLevel="0" collapsed="false">
      <c r="B214" s="75" t="s">
        <v>1118</v>
      </c>
      <c r="C214" s="30" t="s">
        <v>357</v>
      </c>
      <c r="D214" s="75" t="s">
        <v>358</v>
      </c>
      <c r="E214" s="75" t="s">
        <v>332</v>
      </c>
      <c r="F214" s="76" t="n">
        <v>247.93</v>
      </c>
    </row>
    <row r="215" customFormat="false" ht="15" hidden="false" customHeight="false" outlineLevel="0" collapsed="false">
      <c r="B215" s="75" t="s">
        <v>1119</v>
      </c>
      <c r="C215" s="30" t="s">
        <v>425</v>
      </c>
      <c r="D215" s="75" t="s">
        <v>426</v>
      </c>
      <c r="E215" s="75" t="s">
        <v>332</v>
      </c>
      <c r="F215" s="76" t="n">
        <v>171.32</v>
      </c>
    </row>
    <row r="216" customFormat="false" ht="15" hidden="false" customHeight="false" outlineLevel="0" collapsed="false">
      <c r="B216" s="75" t="s">
        <v>1120</v>
      </c>
      <c r="C216" s="30" t="s">
        <v>1121</v>
      </c>
      <c r="D216" s="75" t="s">
        <v>1122</v>
      </c>
      <c r="E216" s="75" t="s">
        <v>332</v>
      </c>
      <c r="F216" s="76" t="n">
        <v>80.52</v>
      </c>
    </row>
    <row r="217" customFormat="false" ht="15" hidden="false" customHeight="false" outlineLevel="0" collapsed="false">
      <c r="B217" s="75" t="s">
        <v>1123</v>
      </c>
      <c r="C217" s="30" t="s">
        <v>1124</v>
      </c>
      <c r="D217" s="75" t="s">
        <v>1125</v>
      </c>
      <c r="E217" s="75" t="s">
        <v>332</v>
      </c>
      <c r="F217" s="76" t="n">
        <v>76.62</v>
      </c>
    </row>
    <row r="218" customFormat="false" ht="15" hidden="false" customHeight="false" outlineLevel="0" collapsed="false">
      <c r="B218" s="75" t="s">
        <v>1126</v>
      </c>
      <c r="C218" s="30" t="s">
        <v>369</v>
      </c>
      <c r="D218" s="75" t="s">
        <v>370</v>
      </c>
      <c r="E218" s="75" t="s">
        <v>332</v>
      </c>
      <c r="F218" s="76" t="n">
        <v>142.75</v>
      </c>
    </row>
    <row r="219" customFormat="false" ht="15" hidden="false" customHeight="false" outlineLevel="0" collapsed="false">
      <c r="B219" s="75" t="s">
        <v>1127</v>
      </c>
      <c r="C219" s="30" t="s">
        <v>371</v>
      </c>
      <c r="D219" s="75" t="s">
        <v>372</v>
      </c>
      <c r="E219" s="75" t="s">
        <v>332</v>
      </c>
      <c r="F219" s="76" t="n">
        <v>247.93</v>
      </c>
    </row>
    <row r="220" customFormat="false" ht="15" hidden="false" customHeight="false" outlineLevel="0" collapsed="false">
      <c r="B220" s="75" t="s">
        <v>1128</v>
      </c>
      <c r="C220" s="30" t="s">
        <v>407</v>
      </c>
      <c r="D220" s="75" t="s">
        <v>408</v>
      </c>
      <c r="E220" s="75" t="s">
        <v>332</v>
      </c>
      <c r="F220" s="76" t="n">
        <v>142.75</v>
      </c>
    </row>
    <row r="221" customFormat="false" ht="15" hidden="false" customHeight="false" outlineLevel="0" collapsed="false">
      <c r="B221" s="75" t="s">
        <v>1129</v>
      </c>
      <c r="C221" s="30" t="s">
        <v>409</v>
      </c>
      <c r="D221" s="75" t="s">
        <v>410</v>
      </c>
      <c r="E221" s="75" t="s">
        <v>332</v>
      </c>
      <c r="F221" s="76" t="n">
        <v>247.93</v>
      </c>
    </row>
    <row r="222" customFormat="false" ht="15" hidden="false" customHeight="false" outlineLevel="0" collapsed="false">
      <c r="B222" s="75" t="s">
        <v>1130</v>
      </c>
      <c r="C222" s="30" t="s">
        <v>421</v>
      </c>
      <c r="D222" s="75" t="s">
        <v>422</v>
      </c>
      <c r="E222" s="75" t="s">
        <v>332</v>
      </c>
      <c r="F222" s="76" t="n">
        <v>142.75</v>
      </c>
    </row>
    <row r="223" customFormat="false" ht="15" hidden="false" customHeight="false" outlineLevel="0" collapsed="false">
      <c r="B223" s="75" t="s">
        <v>1131</v>
      </c>
      <c r="C223" s="30" t="s">
        <v>423</v>
      </c>
      <c r="D223" s="75" t="s">
        <v>424</v>
      </c>
      <c r="E223" s="75" t="s">
        <v>332</v>
      </c>
      <c r="F223" s="76" t="n">
        <v>247.93</v>
      </c>
    </row>
    <row r="224" customFormat="false" ht="15" hidden="false" customHeight="false" outlineLevel="0" collapsed="false">
      <c r="B224" s="75" t="s">
        <v>1132</v>
      </c>
      <c r="C224" s="30" t="s">
        <v>469</v>
      </c>
      <c r="D224" s="75" t="s">
        <v>470</v>
      </c>
      <c r="E224" s="75" t="s">
        <v>332</v>
      </c>
      <c r="F224" s="76" t="n">
        <v>142.75</v>
      </c>
    </row>
    <row r="225" customFormat="false" ht="15" hidden="false" customHeight="false" outlineLevel="0" collapsed="false">
      <c r="B225" s="75" t="s">
        <v>1133</v>
      </c>
      <c r="C225" s="30" t="s">
        <v>471</v>
      </c>
      <c r="D225" s="75" t="s">
        <v>472</v>
      </c>
      <c r="E225" s="75" t="s">
        <v>332</v>
      </c>
      <c r="F225" s="76" t="n">
        <v>247.93</v>
      </c>
    </row>
    <row r="226" customFormat="false" ht="15" hidden="false" customHeight="false" outlineLevel="0" collapsed="false">
      <c r="B226" s="75" t="s">
        <v>1134</v>
      </c>
      <c r="C226" s="30" t="s">
        <v>499</v>
      </c>
      <c r="D226" s="75" t="s">
        <v>500</v>
      </c>
      <c r="E226" s="75" t="s">
        <v>332</v>
      </c>
      <c r="F226" s="76" t="n">
        <v>142.75</v>
      </c>
    </row>
    <row r="227" customFormat="false" ht="22.5" hidden="false" customHeight="true" outlineLevel="0" collapsed="false">
      <c r="B227" s="75" t="s">
        <v>1135</v>
      </c>
      <c r="C227" s="30" t="s">
        <v>449</v>
      </c>
      <c r="D227" s="75" t="s">
        <v>452</v>
      </c>
      <c r="E227" s="75" t="s">
        <v>332</v>
      </c>
      <c r="F227" s="76" t="n">
        <v>845</v>
      </c>
      <c r="G227" s="10" t="s">
        <v>1136</v>
      </c>
    </row>
    <row r="228" customFormat="false" ht="15" hidden="false" customHeight="false" outlineLevel="0" collapsed="false">
      <c r="B228" s="75" t="s">
        <v>1137</v>
      </c>
      <c r="C228" s="30" t="s">
        <v>451</v>
      </c>
      <c r="D228" s="75" t="s">
        <v>452</v>
      </c>
      <c r="E228" s="75" t="s">
        <v>332</v>
      </c>
      <c r="F228" s="76" t="n">
        <v>1025</v>
      </c>
    </row>
    <row r="229" customFormat="false" ht="15" hidden="false" customHeight="false" outlineLevel="0" collapsed="false">
      <c r="B229" s="75" t="s">
        <v>1138</v>
      </c>
      <c r="C229" s="30" t="s">
        <v>453</v>
      </c>
      <c r="D229" s="75" t="s">
        <v>454</v>
      </c>
      <c r="E229" s="75" t="s">
        <v>332</v>
      </c>
      <c r="F229" s="76" t="n">
        <v>661.75</v>
      </c>
    </row>
    <row r="230" customFormat="false" ht="15" hidden="false" customHeight="false" outlineLevel="0" collapsed="false">
      <c r="B230" s="75" t="s">
        <v>1139</v>
      </c>
      <c r="C230" s="30" t="s">
        <v>455</v>
      </c>
      <c r="D230" s="75" t="s">
        <v>456</v>
      </c>
      <c r="E230" s="75" t="s">
        <v>332</v>
      </c>
      <c r="F230" s="76" t="n">
        <v>690.45</v>
      </c>
    </row>
    <row r="231" customFormat="false" ht="15" hidden="false" customHeight="false" outlineLevel="0" collapsed="false">
      <c r="B231" s="75" t="s">
        <v>1140</v>
      </c>
      <c r="C231" s="30" t="s">
        <v>457</v>
      </c>
      <c r="D231" s="75" t="s">
        <v>458</v>
      </c>
      <c r="E231" s="75" t="s">
        <v>332</v>
      </c>
      <c r="F231" s="76" t="n">
        <v>707.8</v>
      </c>
    </row>
    <row r="232" customFormat="false" ht="15" hidden="false" customHeight="false" outlineLevel="0" collapsed="false">
      <c r="B232" s="75" t="s">
        <v>1141</v>
      </c>
      <c r="C232" s="30" t="s">
        <v>459</v>
      </c>
      <c r="D232" s="75" t="s">
        <v>460</v>
      </c>
      <c r="E232" s="75" t="s">
        <v>332</v>
      </c>
      <c r="F232" s="76" t="n">
        <v>987.5</v>
      </c>
    </row>
    <row r="233" customFormat="false" ht="15" hidden="false" customHeight="false" outlineLevel="0" collapsed="false">
      <c r="B233" s="75" t="s">
        <v>1142</v>
      </c>
      <c r="C233" s="30" t="s">
        <v>461</v>
      </c>
      <c r="D233" s="75" t="s">
        <v>462</v>
      </c>
      <c r="E233" s="75" t="s">
        <v>332</v>
      </c>
      <c r="F233" s="76" t="n">
        <v>1175</v>
      </c>
    </row>
    <row r="234" customFormat="false" ht="15" hidden="false" customHeight="false" outlineLevel="0" collapsed="false">
      <c r="B234" s="75" t="s">
        <v>1143</v>
      </c>
      <c r="C234" s="30" t="s">
        <v>463</v>
      </c>
      <c r="D234" s="75" t="s">
        <v>464</v>
      </c>
      <c r="E234" s="75" t="s">
        <v>332</v>
      </c>
      <c r="F234" s="76" t="n">
        <v>860.15</v>
      </c>
    </row>
    <row r="235" customFormat="false" ht="15" hidden="false" customHeight="false" outlineLevel="0" collapsed="false">
      <c r="B235" s="75" t="s">
        <v>1144</v>
      </c>
      <c r="C235" s="30" t="s">
        <v>465</v>
      </c>
      <c r="D235" s="75" t="s">
        <v>466</v>
      </c>
      <c r="E235" s="75" t="s">
        <v>332</v>
      </c>
      <c r="F235" s="76" t="n">
        <v>907.95</v>
      </c>
    </row>
    <row r="236" customFormat="false" ht="15" hidden="false" customHeight="false" outlineLevel="0" collapsed="false">
      <c r="B236" s="75" t="s">
        <v>1145</v>
      </c>
      <c r="C236" s="30" t="s">
        <v>467</v>
      </c>
      <c r="D236" s="75" t="s">
        <v>468</v>
      </c>
      <c r="E236" s="75" t="s">
        <v>332</v>
      </c>
      <c r="F236" s="76" t="n">
        <v>962.65</v>
      </c>
    </row>
    <row r="237" customFormat="false" ht="15" hidden="false" customHeight="false" outlineLevel="0" collapsed="false">
      <c r="B237" s="75" t="s">
        <v>1146</v>
      </c>
      <c r="C237" s="30" t="s">
        <v>501</v>
      </c>
      <c r="D237" s="75" t="s">
        <v>502</v>
      </c>
      <c r="E237" s="75" t="s">
        <v>332</v>
      </c>
      <c r="F237" s="76" t="n">
        <v>247.93</v>
      </c>
    </row>
    <row r="238" customFormat="false" ht="15" hidden="false" customHeight="false" outlineLevel="0" collapsed="false">
      <c r="B238" s="75" t="s">
        <v>1147</v>
      </c>
      <c r="C238" s="30" t="s">
        <v>473</v>
      </c>
      <c r="D238" s="75" t="s">
        <v>474</v>
      </c>
      <c r="E238" s="75" t="s">
        <v>332</v>
      </c>
      <c r="F238" s="76" t="n">
        <v>204.45</v>
      </c>
    </row>
    <row r="239" customFormat="false" ht="15" hidden="false" customHeight="false" outlineLevel="0" collapsed="false">
      <c r="B239" s="75" t="s">
        <v>1148</v>
      </c>
      <c r="C239" s="30" t="s">
        <v>1149</v>
      </c>
      <c r="D239" s="75" t="s">
        <v>1150</v>
      </c>
      <c r="E239" s="75" t="s">
        <v>332</v>
      </c>
      <c r="F239" s="76" t="n">
        <v>87.3</v>
      </c>
    </row>
    <row r="240" customFormat="false" ht="15" hidden="false" customHeight="false" outlineLevel="0" collapsed="false">
      <c r="B240" s="75" t="s">
        <v>1151</v>
      </c>
      <c r="C240" s="30" t="s">
        <v>1152</v>
      </c>
      <c r="D240" s="75" t="s">
        <v>1153</v>
      </c>
      <c r="E240" s="75" t="s">
        <v>332</v>
      </c>
      <c r="F240" s="76" t="n">
        <v>99.21</v>
      </c>
    </row>
    <row r="241" customFormat="false" ht="15" hidden="false" customHeight="false" outlineLevel="0" collapsed="false">
      <c r="B241" s="75" t="s">
        <v>1154</v>
      </c>
      <c r="C241" s="30" t="s">
        <v>475</v>
      </c>
      <c r="D241" s="75" t="s">
        <v>476</v>
      </c>
      <c r="E241" s="75" t="s">
        <v>332</v>
      </c>
      <c r="F241" s="76" t="n">
        <v>259.36</v>
      </c>
    </row>
    <row r="242" customFormat="false" ht="15" hidden="false" customHeight="false" outlineLevel="0" collapsed="false">
      <c r="B242" s="75" t="s">
        <v>1155</v>
      </c>
      <c r="C242" s="30" t="s">
        <v>1156</v>
      </c>
      <c r="D242" s="75" t="s">
        <v>1157</v>
      </c>
      <c r="E242" s="75" t="s">
        <v>332</v>
      </c>
      <c r="F242" s="76" t="n">
        <v>144.73</v>
      </c>
    </row>
    <row r="243" customFormat="false" ht="15" hidden="false" customHeight="false" outlineLevel="0" collapsed="false">
      <c r="B243" s="75" t="s">
        <v>1158</v>
      </c>
      <c r="C243" s="30" t="s">
        <v>1159</v>
      </c>
      <c r="D243" s="75" t="s">
        <v>1160</v>
      </c>
      <c r="E243" s="75" t="s">
        <v>332</v>
      </c>
      <c r="F243" s="76" t="n">
        <v>163.66</v>
      </c>
    </row>
    <row r="244" customFormat="false" ht="15" hidden="false" customHeight="false" outlineLevel="0" collapsed="false">
      <c r="B244" s="75" t="s">
        <v>1161</v>
      </c>
      <c r="C244" s="30" t="s">
        <v>477</v>
      </c>
      <c r="D244" s="75" t="s">
        <v>478</v>
      </c>
      <c r="E244" s="75" t="s">
        <v>332</v>
      </c>
      <c r="F244" s="76" t="n">
        <v>476.71</v>
      </c>
    </row>
    <row r="245" customFormat="false" ht="15" hidden="false" customHeight="false" outlineLevel="0" collapsed="false">
      <c r="B245" s="75" t="s">
        <v>1162</v>
      </c>
      <c r="C245" s="30" t="s">
        <v>1163</v>
      </c>
      <c r="D245" s="75" t="s">
        <v>1164</v>
      </c>
      <c r="E245" s="75" t="s">
        <v>332</v>
      </c>
      <c r="F245" s="76" t="n">
        <v>202.18</v>
      </c>
    </row>
    <row r="246" customFormat="false" ht="15" hidden="false" customHeight="false" outlineLevel="0" collapsed="false">
      <c r="B246" s="75" t="s">
        <v>1165</v>
      </c>
      <c r="C246" s="30" t="s">
        <v>1166</v>
      </c>
      <c r="D246" s="75" t="s">
        <v>1167</v>
      </c>
      <c r="E246" s="75" t="s">
        <v>332</v>
      </c>
      <c r="F246" s="76" t="n">
        <v>228.11</v>
      </c>
    </row>
    <row r="247" customFormat="false" ht="15" hidden="false" customHeight="false" outlineLevel="0" collapsed="false">
      <c r="B247" s="75" t="s">
        <v>1168</v>
      </c>
      <c r="C247" s="30" t="s">
        <v>479</v>
      </c>
      <c r="D247" s="75" t="s">
        <v>480</v>
      </c>
      <c r="E247" s="75" t="s">
        <v>332</v>
      </c>
      <c r="F247" s="76" t="n">
        <v>837.5</v>
      </c>
    </row>
    <row r="248" customFormat="false" ht="15" hidden="false" customHeight="false" outlineLevel="0" collapsed="false">
      <c r="B248" s="75" t="s">
        <v>1169</v>
      </c>
      <c r="C248" s="30" t="s">
        <v>481</v>
      </c>
      <c r="D248" s="75" t="s">
        <v>482</v>
      </c>
      <c r="E248" s="75" t="s">
        <v>332</v>
      </c>
      <c r="F248" s="76" t="n">
        <v>907.5</v>
      </c>
    </row>
    <row r="249" customFormat="false" ht="15" hidden="false" customHeight="false" outlineLevel="0" collapsed="false">
      <c r="B249" s="75" t="s">
        <v>1170</v>
      </c>
      <c r="C249" s="30" t="s">
        <v>483</v>
      </c>
      <c r="D249" s="75" t="s">
        <v>484</v>
      </c>
      <c r="E249" s="75" t="s">
        <v>332</v>
      </c>
      <c r="F249" s="76" t="n">
        <v>607.75</v>
      </c>
    </row>
    <row r="250" customFormat="false" ht="15" hidden="false" customHeight="false" outlineLevel="0" collapsed="false">
      <c r="B250" s="75" t="s">
        <v>1171</v>
      </c>
      <c r="C250" s="30" t="s">
        <v>485</v>
      </c>
      <c r="D250" s="75" t="s">
        <v>486</v>
      </c>
      <c r="E250" s="75" t="s">
        <v>332</v>
      </c>
      <c r="F250" s="76" t="n">
        <v>662.75</v>
      </c>
    </row>
    <row r="251" customFormat="false" ht="15" hidden="false" customHeight="false" outlineLevel="0" collapsed="false">
      <c r="B251" s="75" t="s">
        <v>1172</v>
      </c>
      <c r="C251" s="30" t="s">
        <v>487</v>
      </c>
      <c r="D251" s="75" t="s">
        <v>488</v>
      </c>
      <c r="E251" s="75" t="s">
        <v>332</v>
      </c>
      <c r="F251" s="76" t="n">
        <v>695.25</v>
      </c>
    </row>
    <row r="252" customFormat="false" ht="15" hidden="false" customHeight="false" outlineLevel="0" collapsed="false">
      <c r="B252" s="75" t="s">
        <v>1173</v>
      </c>
      <c r="C252" s="30" t="s">
        <v>489</v>
      </c>
      <c r="D252" s="75" t="s">
        <v>490</v>
      </c>
      <c r="E252" s="75" t="s">
        <v>332</v>
      </c>
      <c r="F252" s="76" t="n">
        <v>937.5</v>
      </c>
    </row>
    <row r="253" customFormat="false" ht="15" hidden="false" customHeight="false" outlineLevel="0" collapsed="false">
      <c r="B253" s="75" t="s">
        <v>1174</v>
      </c>
      <c r="C253" s="30" t="s">
        <v>491</v>
      </c>
      <c r="D253" s="75" t="s">
        <v>492</v>
      </c>
      <c r="E253" s="75" t="s">
        <v>332</v>
      </c>
      <c r="F253" s="76" t="n">
        <v>1075</v>
      </c>
    </row>
    <row r="254" customFormat="false" ht="15" hidden="false" customHeight="false" outlineLevel="0" collapsed="false">
      <c r="B254" s="75" t="s">
        <v>1175</v>
      </c>
      <c r="C254" s="30" t="s">
        <v>493</v>
      </c>
      <c r="D254" s="75" t="s">
        <v>494</v>
      </c>
      <c r="E254" s="75" t="s">
        <v>332</v>
      </c>
      <c r="F254" s="76" t="n">
        <v>725.25</v>
      </c>
    </row>
    <row r="255" customFormat="false" ht="15" hidden="false" customHeight="false" outlineLevel="0" collapsed="false">
      <c r="B255" s="75" t="s">
        <v>1176</v>
      </c>
      <c r="C255" s="30" t="s">
        <v>495</v>
      </c>
      <c r="D255" s="75" t="s">
        <v>496</v>
      </c>
      <c r="E255" s="75" t="s">
        <v>332</v>
      </c>
      <c r="F255" s="76" t="n">
        <v>825.45</v>
      </c>
    </row>
    <row r="256" customFormat="false" ht="15" hidden="false" customHeight="false" outlineLevel="0" collapsed="false">
      <c r="B256" s="75" t="s">
        <v>1177</v>
      </c>
      <c r="C256" s="30" t="s">
        <v>497</v>
      </c>
      <c r="D256" s="75" t="s">
        <v>498</v>
      </c>
      <c r="E256" s="75" t="s">
        <v>332</v>
      </c>
      <c r="F256" s="76" t="n">
        <v>860.25</v>
      </c>
    </row>
    <row r="257" customFormat="false" ht="15" hidden="false" customHeight="false" outlineLevel="0" collapsed="false">
      <c r="B257" s="75" t="s">
        <v>1178</v>
      </c>
      <c r="C257" s="30" t="s">
        <v>513</v>
      </c>
      <c r="D257" s="75" t="s">
        <v>514</v>
      </c>
      <c r="E257" s="75" t="s">
        <v>332</v>
      </c>
      <c r="F257" s="76" t="n">
        <v>142.75</v>
      </c>
    </row>
    <row r="258" customFormat="false" ht="15" hidden="false" customHeight="false" outlineLevel="0" collapsed="false">
      <c r="B258" s="75" t="s">
        <v>1179</v>
      </c>
      <c r="C258" s="30" t="s">
        <v>503</v>
      </c>
      <c r="D258" s="75" t="s">
        <v>504</v>
      </c>
      <c r="E258" s="75" t="s">
        <v>332</v>
      </c>
      <c r="F258" s="76" t="n">
        <v>129.41</v>
      </c>
    </row>
    <row r="259" customFormat="false" ht="15" hidden="false" customHeight="false" outlineLevel="0" collapsed="false">
      <c r="B259" s="75" t="s">
        <v>1180</v>
      </c>
      <c r="C259" s="30" t="s">
        <v>1181</v>
      </c>
      <c r="D259" s="75" t="s">
        <v>1182</v>
      </c>
      <c r="E259" s="75" t="s">
        <v>332</v>
      </c>
      <c r="F259" s="76" t="n">
        <v>64.08</v>
      </c>
    </row>
    <row r="260" customFormat="false" ht="15" hidden="false" customHeight="false" outlineLevel="0" collapsed="false">
      <c r="B260" s="75" t="s">
        <v>1183</v>
      </c>
      <c r="C260" s="30" t="s">
        <v>1184</v>
      </c>
      <c r="D260" s="75" t="s">
        <v>1185</v>
      </c>
      <c r="E260" s="75" t="s">
        <v>332</v>
      </c>
      <c r="F260" s="76" t="n">
        <v>79.6</v>
      </c>
    </row>
    <row r="261" customFormat="false" ht="15" hidden="false" customHeight="false" outlineLevel="0" collapsed="false">
      <c r="B261" s="75" t="s">
        <v>1186</v>
      </c>
      <c r="C261" s="30" t="s">
        <v>505</v>
      </c>
      <c r="D261" s="75" t="s">
        <v>506</v>
      </c>
      <c r="E261" s="75" t="s">
        <v>332</v>
      </c>
      <c r="F261" s="76" t="n">
        <v>178.73</v>
      </c>
    </row>
    <row r="262" customFormat="false" ht="15" hidden="false" customHeight="false" outlineLevel="0" collapsed="false">
      <c r="B262" s="75" t="s">
        <v>1187</v>
      </c>
      <c r="C262" s="30" t="s">
        <v>1188</v>
      </c>
      <c r="D262" s="75" t="s">
        <v>1189</v>
      </c>
      <c r="E262" s="75" t="s">
        <v>332</v>
      </c>
      <c r="F262" s="76" t="n">
        <v>114.33</v>
      </c>
    </row>
    <row r="263" customFormat="false" ht="15" hidden="false" customHeight="false" outlineLevel="0" collapsed="false">
      <c r="B263" s="75" t="s">
        <v>1190</v>
      </c>
      <c r="C263" s="30" t="s">
        <v>1191</v>
      </c>
      <c r="D263" s="75" t="s">
        <v>1192</v>
      </c>
      <c r="E263" s="75" t="s">
        <v>332</v>
      </c>
      <c r="F263" s="76" t="n">
        <v>139.34</v>
      </c>
    </row>
    <row r="264" customFormat="false" ht="15" hidden="false" customHeight="false" outlineLevel="0" collapsed="false">
      <c r="B264" s="75" t="s">
        <v>1193</v>
      </c>
      <c r="C264" s="30" t="s">
        <v>507</v>
      </c>
      <c r="D264" s="75" t="s">
        <v>508</v>
      </c>
      <c r="E264" s="75" t="s">
        <v>332</v>
      </c>
      <c r="F264" s="76" t="n">
        <v>339.97</v>
      </c>
    </row>
    <row r="265" customFormat="false" ht="15" hidden="false" customHeight="false" outlineLevel="0" collapsed="false">
      <c r="B265" s="75" t="s">
        <v>1194</v>
      </c>
      <c r="C265" s="30" t="s">
        <v>1195</v>
      </c>
      <c r="D265" s="75" t="s">
        <v>1196</v>
      </c>
      <c r="E265" s="75" t="s">
        <v>332</v>
      </c>
      <c r="F265" s="76" t="n">
        <v>164.42</v>
      </c>
    </row>
    <row r="266" customFormat="false" ht="15" hidden="false" customHeight="false" outlineLevel="0" collapsed="false">
      <c r="B266" s="75" t="s">
        <v>1197</v>
      </c>
      <c r="C266" s="30" t="s">
        <v>1198</v>
      </c>
      <c r="D266" s="75" t="s">
        <v>1199</v>
      </c>
      <c r="E266" s="75" t="s">
        <v>332</v>
      </c>
      <c r="F266" s="76" t="n">
        <v>198.57</v>
      </c>
    </row>
    <row r="267" customFormat="false" ht="15" hidden="false" customHeight="false" outlineLevel="0" collapsed="false">
      <c r="B267" s="75" t="s">
        <v>1200</v>
      </c>
      <c r="C267" s="30" t="s">
        <v>509</v>
      </c>
      <c r="D267" s="75" t="s">
        <v>510</v>
      </c>
      <c r="E267" s="75" t="s">
        <v>332</v>
      </c>
      <c r="F267" s="76" t="n">
        <v>567.63</v>
      </c>
    </row>
    <row r="268" customFormat="false" ht="15" hidden="false" customHeight="false" outlineLevel="0" collapsed="false">
      <c r="B268" s="75" t="s">
        <v>1201</v>
      </c>
      <c r="C268" s="30" t="s">
        <v>511</v>
      </c>
      <c r="D268" s="75" t="s">
        <v>512</v>
      </c>
      <c r="E268" s="75" t="s">
        <v>332</v>
      </c>
      <c r="F268" s="76" t="n">
        <v>586.93</v>
      </c>
    </row>
    <row r="269" customFormat="false" ht="15" hidden="false" customHeight="false" outlineLevel="0" collapsed="false">
      <c r="B269" s="75" t="s">
        <v>1202</v>
      </c>
      <c r="C269" s="30" t="s">
        <v>515</v>
      </c>
      <c r="D269" s="75" t="s">
        <v>516</v>
      </c>
      <c r="E269" s="75" t="s">
        <v>332</v>
      </c>
      <c r="F269" s="76" t="n">
        <v>247.93</v>
      </c>
    </row>
    <row r="270" customFormat="false" ht="15" hidden="false" customHeight="false" outlineLevel="0" collapsed="false">
      <c r="B270" s="75" t="s">
        <v>1203</v>
      </c>
      <c r="C270" s="30" t="s">
        <v>517</v>
      </c>
      <c r="D270" s="75" t="s">
        <v>518</v>
      </c>
      <c r="E270" s="75" t="s">
        <v>332</v>
      </c>
      <c r="F270" s="76" t="n">
        <v>126.13</v>
      </c>
    </row>
    <row r="271" customFormat="false" ht="15" hidden="false" customHeight="false" outlineLevel="0" collapsed="false">
      <c r="B271" s="75" t="s">
        <v>1204</v>
      </c>
      <c r="C271" s="30" t="s">
        <v>1205</v>
      </c>
      <c r="D271" s="75" t="s">
        <v>1206</v>
      </c>
      <c r="E271" s="75" t="s">
        <v>332</v>
      </c>
      <c r="F271" s="76" t="n">
        <v>57.95</v>
      </c>
    </row>
    <row r="272" customFormat="false" ht="15" hidden="false" customHeight="false" outlineLevel="0" collapsed="false">
      <c r="B272" s="75" t="s">
        <v>1207</v>
      </c>
      <c r="C272" s="30" t="s">
        <v>1208</v>
      </c>
      <c r="D272" s="75" t="s">
        <v>1209</v>
      </c>
      <c r="E272" s="75" t="s">
        <v>332</v>
      </c>
      <c r="F272" s="76" t="n">
        <v>72</v>
      </c>
    </row>
    <row r="273" customFormat="false" ht="15" hidden="false" customHeight="false" outlineLevel="0" collapsed="false">
      <c r="B273" s="75" t="s">
        <v>1210</v>
      </c>
      <c r="C273" s="30" t="s">
        <v>519</v>
      </c>
      <c r="D273" s="75" t="s">
        <v>520</v>
      </c>
      <c r="E273" s="75" t="s">
        <v>332</v>
      </c>
      <c r="F273" s="76" t="n">
        <v>547.75</v>
      </c>
    </row>
    <row r="274" customFormat="false" ht="15" hidden="false" customHeight="false" outlineLevel="0" collapsed="false">
      <c r="B274" s="75" t="s">
        <v>1211</v>
      </c>
      <c r="C274" s="30" t="s">
        <v>521</v>
      </c>
      <c r="D274" s="75" t="s">
        <v>522</v>
      </c>
      <c r="E274" s="75" t="s">
        <v>332</v>
      </c>
      <c r="F274" s="76" t="n">
        <v>464.48</v>
      </c>
    </row>
    <row r="275" customFormat="false" ht="15" hidden="false" customHeight="false" outlineLevel="0" collapsed="false">
      <c r="B275" s="75" t="s">
        <v>1212</v>
      </c>
      <c r="C275" s="30" t="s">
        <v>529</v>
      </c>
      <c r="D275" s="75" t="s">
        <v>530</v>
      </c>
      <c r="E275" s="75" t="s">
        <v>332</v>
      </c>
      <c r="F275" s="76" t="n">
        <v>142.75</v>
      </c>
    </row>
    <row r="276" customFormat="false" ht="15" hidden="false" customHeight="false" outlineLevel="0" collapsed="false">
      <c r="B276" s="75" t="s">
        <v>1213</v>
      </c>
      <c r="C276" s="30" t="s">
        <v>533</v>
      </c>
      <c r="D276" s="75" t="s">
        <v>534</v>
      </c>
      <c r="E276" s="75" t="s">
        <v>332</v>
      </c>
      <c r="F276" s="76" t="n">
        <v>114.08</v>
      </c>
    </row>
    <row r="277" customFormat="false" ht="15" hidden="false" customHeight="false" outlineLevel="0" collapsed="false">
      <c r="B277" s="75" t="s">
        <v>1214</v>
      </c>
      <c r="C277" s="30" t="s">
        <v>1215</v>
      </c>
      <c r="D277" s="75" t="s">
        <v>1216</v>
      </c>
      <c r="E277" s="75" t="s">
        <v>332</v>
      </c>
      <c r="F277" s="76" t="n">
        <v>57.44</v>
      </c>
    </row>
    <row r="278" customFormat="false" ht="15" hidden="false" customHeight="false" outlineLevel="0" collapsed="false">
      <c r="B278" s="75" t="s">
        <v>1217</v>
      </c>
      <c r="C278" s="30" t="s">
        <v>1218</v>
      </c>
      <c r="D278" s="75" t="s">
        <v>1219</v>
      </c>
      <c r="E278" s="75" t="s">
        <v>332</v>
      </c>
      <c r="F278" s="76" t="n">
        <v>59.46</v>
      </c>
    </row>
    <row r="279" customFormat="false" ht="15" hidden="false" customHeight="false" outlineLevel="0" collapsed="false">
      <c r="B279" s="75" t="s">
        <v>1220</v>
      </c>
      <c r="C279" s="30" t="s">
        <v>542</v>
      </c>
      <c r="D279" s="75" t="s">
        <v>543</v>
      </c>
      <c r="E279" s="75" t="s">
        <v>332</v>
      </c>
      <c r="F279" s="76" t="n">
        <v>412.75</v>
      </c>
    </row>
    <row r="280" customFormat="false" ht="15" hidden="false" customHeight="false" outlineLevel="0" collapsed="false">
      <c r="B280" s="75" t="s">
        <v>1221</v>
      </c>
      <c r="C280" s="30" t="s">
        <v>544</v>
      </c>
      <c r="D280" s="75" t="s">
        <v>545</v>
      </c>
      <c r="E280" s="75" t="s">
        <v>332</v>
      </c>
      <c r="F280" s="76" t="n">
        <v>337.75</v>
      </c>
    </row>
    <row r="281" customFormat="false" ht="15" hidden="false" customHeight="false" outlineLevel="0" collapsed="false">
      <c r="B281" s="75" t="s">
        <v>1222</v>
      </c>
      <c r="C281" s="30" t="s">
        <v>1223</v>
      </c>
      <c r="D281" s="75" t="s">
        <v>524</v>
      </c>
      <c r="E281" s="75" t="s">
        <v>332</v>
      </c>
      <c r="F281" s="76" t="n">
        <v>44.19</v>
      </c>
    </row>
    <row r="282" customFormat="false" ht="15" hidden="false" customHeight="false" outlineLevel="0" collapsed="false">
      <c r="B282" s="75" t="s">
        <v>1224</v>
      </c>
      <c r="C282" s="30" t="s">
        <v>527</v>
      </c>
      <c r="D282" s="75" t="s">
        <v>528</v>
      </c>
      <c r="E282" s="75" t="s">
        <v>332</v>
      </c>
      <c r="F282" s="76" t="n">
        <v>109.81</v>
      </c>
    </row>
    <row r="283" customFormat="false" ht="15" hidden="false" customHeight="false" outlineLevel="0" collapsed="false">
      <c r="B283" s="75" t="s">
        <v>1225</v>
      </c>
      <c r="C283" s="30" t="s">
        <v>431</v>
      </c>
      <c r="D283" s="75" t="s">
        <v>432</v>
      </c>
      <c r="E283" s="75" t="s">
        <v>332</v>
      </c>
      <c r="F283" s="76" t="n">
        <v>162.75</v>
      </c>
    </row>
    <row r="284" customFormat="false" ht="15" hidden="false" customHeight="false" outlineLevel="0" collapsed="false">
      <c r="B284" s="75" t="s">
        <v>1226</v>
      </c>
      <c r="C284" s="30" t="s">
        <v>435</v>
      </c>
      <c r="D284" s="75" t="s">
        <v>436</v>
      </c>
      <c r="E284" s="75" t="s">
        <v>332</v>
      </c>
      <c r="F284" s="76" t="n">
        <v>82.75</v>
      </c>
    </row>
    <row r="285" customFormat="false" ht="15" hidden="false" customHeight="false" outlineLevel="0" collapsed="false">
      <c r="B285" s="75" t="s">
        <v>1227</v>
      </c>
      <c r="C285" s="30" t="s">
        <v>437</v>
      </c>
      <c r="D285" s="75" t="s">
        <v>438</v>
      </c>
      <c r="E285" s="75" t="s">
        <v>332</v>
      </c>
      <c r="F285" s="76" t="n">
        <v>162.75</v>
      </c>
    </row>
    <row r="286" customFormat="false" ht="15" hidden="false" customHeight="false" outlineLevel="0" collapsed="false">
      <c r="B286" s="75" t="s">
        <v>1228</v>
      </c>
      <c r="C286" s="30" t="s">
        <v>1229</v>
      </c>
      <c r="D286" s="75" t="s">
        <v>1230</v>
      </c>
      <c r="E286" s="75" t="s">
        <v>332</v>
      </c>
      <c r="F286" s="76" t="n">
        <v>307.92</v>
      </c>
    </row>
    <row r="287" customFormat="false" ht="15" hidden="false" customHeight="false" outlineLevel="0" collapsed="false">
      <c r="B287" s="75" t="s">
        <v>1231</v>
      </c>
      <c r="C287" s="30" t="s">
        <v>1232</v>
      </c>
      <c r="D287" s="75" t="s">
        <v>1233</v>
      </c>
      <c r="E287" s="75" t="s">
        <v>332</v>
      </c>
      <c r="F287" s="76" t="n">
        <v>335.39</v>
      </c>
    </row>
    <row r="288" customFormat="false" ht="15" hidden="false" customHeight="false" outlineLevel="0" collapsed="false">
      <c r="B288" s="75" t="s">
        <v>1234</v>
      </c>
      <c r="C288" s="30" t="s">
        <v>1235</v>
      </c>
      <c r="D288" s="75" t="s">
        <v>1236</v>
      </c>
      <c r="E288" s="75" t="s">
        <v>332</v>
      </c>
      <c r="F288" s="76" t="n">
        <v>177.79</v>
      </c>
    </row>
    <row r="289" customFormat="false" ht="15" hidden="false" customHeight="false" outlineLevel="0" collapsed="false">
      <c r="B289" s="75" t="s">
        <v>1237</v>
      </c>
      <c r="C289" s="30" t="s">
        <v>1238</v>
      </c>
      <c r="D289" s="75" t="s">
        <v>1239</v>
      </c>
      <c r="E289" s="75" t="s">
        <v>332</v>
      </c>
      <c r="F289" s="76" t="n">
        <v>125.73</v>
      </c>
    </row>
    <row r="290" customFormat="false" ht="15" hidden="false" customHeight="false" outlineLevel="0" collapsed="false">
      <c r="B290" s="75" t="s">
        <v>1240</v>
      </c>
      <c r="C290" s="30" t="s">
        <v>1241</v>
      </c>
      <c r="D290" s="75" t="s">
        <v>1242</v>
      </c>
      <c r="E290" s="75" t="s">
        <v>332</v>
      </c>
      <c r="F290" s="76" t="n">
        <v>181.65</v>
      </c>
    </row>
    <row r="291" customFormat="false" ht="15" hidden="false" customHeight="false" outlineLevel="0" collapsed="false">
      <c r="B291" s="75" t="s">
        <v>1243</v>
      </c>
      <c r="C291" s="30" t="s">
        <v>1244</v>
      </c>
      <c r="D291" s="75" t="s">
        <v>1245</v>
      </c>
      <c r="E291" s="75" t="s">
        <v>332</v>
      </c>
      <c r="F291" s="76" t="n">
        <v>53.32</v>
      </c>
    </row>
    <row r="292" customFormat="false" ht="15" hidden="false" customHeight="false" outlineLevel="0" collapsed="false">
      <c r="B292" s="75" t="s">
        <v>1246</v>
      </c>
      <c r="C292" s="30" t="s">
        <v>1247</v>
      </c>
      <c r="D292" s="75" t="s">
        <v>1248</v>
      </c>
      <c r="E292" s="75" t="s">
        <v>332</v>
      </c>
      <c r="F292" s="76" t="n">
        <v>42.22</v>
      </c>
    </row>
    <row r="293" customFormat="false" ht="15" hidden="false" customHeight="false" outlineLevel="0" collapsed="false">
      <c r="B293" s="75" t="s">
        <v>1249</v>
      </c>
      <c r="C293" s="30" t="s">
        <v>1250</v>
      </c>
      <c r="D293" s="75" t="s">
        <v>1251</v>
      </c>
      <c r="E293" s="75" t="s">
        <v>332</v>
      </c>
      <c r="F293" s="76" t="n">
        <v>83.09</v>
      </c>
    </row>
    <row r="294" customFormat="false" ht="15" hidden="false" customHeight="false" outlineLevel="0" collapsed="false">
      <c r="B294" s="75" t="s">
        <v>1252</v>
      </c>
      <c r="C294" s="30" t="s">
        <v>531</v>
      </c>
      <c r="D294" s="75" t="s">
        <v>532</v>
      </c>
      <c r="E294" s="75" t="s">
        <v>332</v>
      </c>
      <c r="F294" s="76" t="n">
        <v>247.93</v>
      </c>
    </row>
    <row r="295" customFormat="false" ht="15" hidden="false" customHeight="false" outlineLevel="0" collapsed="false">
      <c r="B295" s="75" t="s">
        <v>1253</v>
      </c>
      <c r="C295" s="30" t="s">
        <v>1254</v>
      </c>
      <c r="D295" s="75" t="s">
        <v>1255</v>
      </c>
      <c r="E295" s="75" t="s">
        <v>332</v>
      </c>
      <c r="F295" s="76" t="n">
        <v>20.8</v>
      </c>
    </row>
    <row r="296" customFormat="false" ht="15" hidden="false" customHeight="false" outlineLevel="0" collapsed="false">
      <c r="B296" s="75" t="s">
        <v>1256</v>
      </c>
      <c r="C296" s="30" t="s">
        <v>1257</v>
      </c>
      <c r="D296" s="75" t="s">
        <v>1258</v>
      </c>
      <c r="E296" s="75" t="s">
        <v>332</v>
      </c>
      <c r="F296" s="76" t="n">
        <v>27.55</v>
      </c>
    </row>
    <row r="297" customFormat="false" ht="15" hidden="false" customHeight="false" outlineLevel="0" collapsed="false">
      <c r="B297" s="75" t="s">
        <v>1259</v>
      </c>
      <c r="C297" s="30" t="s">
        <v>1260</v>
      </c>
      <c r="D297" s="75" t="s">
        <v>1261</v>
      </c>
      <c r="E297" s="75" t="s">
        <v>332</v>
      </c>
      <c r="F297" s="76" t="n">
        <v>377.75</v>
      </c>
    </row>
    <row r="298" customFormat="false" ht="15" hidden="false" customHeight="false" outlineLevel="0" collapsed="false">
      <c r="B298" s="75" t="s">
        <v>1262</v>
      </c>
      <c r="C298" s="30" t="s">
        <v>1263</v>
      </c>
      <c r="D298" s="75" t="s">
        <v>1264</v>
      </c>
      <c r="E298" s="75" t="s">
        <v>332</v>
      </c>
      <c r="F298" s="76" t="n">
        <v>478.3</v>
      </c>
    </row>
    <row r="299" customFormat="false" ht="15" hidden="false" customHeight="false" outlineLevel="0" collapsed="false">
      <c r="B299" s="75" t="s">
        <v>1265</v>
      </c>
      <c r="C299" s="30" t="s">
        <v>1266</v>
      </c>
      <c r="D299" s="75" t="s">
        <v>1267</v>
      </c>
      <c r="E299" s="75" t="s">
        <v>332</v>
      </c>
      <c r="F299" s="76" t="n">
        <v>428.3</v>
      </c>
    </row>
    <row r="300" customFormat="false" ht="15" hidden="false" customHeight="false" outlineLevel="0" collapsed="false">
      <c r="B300" s="75" t="s">
        <v>1268</v>
      </c>
      <c r="C300" s="30" t="s">
        <v>1269</v>
      </c>
      <c r="D300" s="75" t="s">
        <v>1270</v>
      </c>
      <c r="E300" s="75" t="s">
        <v>332</v>
      </c>
      <c r="F300" s="76" t="n">
        <v>32.04</v>
      </c>
    </row>
    <row r="301" customFormat="false" ht="15" hidden="false" customHeight="false" outlineLevel="0" collapsed="false">
      <c r="B301" s="75" t="s">
        <v>1271</v>
      </c>
      <c r="C301" s="30" t="s">
        <v>1272</v>
      </c>
      <c r="D301" s="75" t="s">
        <v>1273</v>
      </c>
      <c r="E301" s="75" t="s">
        <v>332</v>
      </c>
      <c r="F301" s="76" t="n">
        <v>67.18</v>
      </c>
    </row>
    <row r="302" customFormat="false" ht="15" hidden="false" customHeight="false" outlineLevel="0" collapsed="false">
      <c r="B302" s="75" t="s">
        <v>1274</v>
      </c>
      <c r="C302" s="30" t="s">
        <v>1275</v>
      </c>
      <c r="D302" s="75" t="s">
        <v>1276</v>
      </c>
      <c r="E302" s="75" t="s">
        <v>332</v>
      </c>
      <c r="F302" s="76" t="n">
        <v>8.11</v>
      </c>
    </row>
    <row r="303" customFormat="false" ht="15" hidden="false" customHeight="false" outlineLevel="0" collapsed="false">
      <c r="B303" s="75" t="s">
        <v>1277</v>
      </c>
      <c r="C303" s="30" t="s">
        <v>1278</v>
      </c>
      <c r="D303" s="75" t="s">
        <v>1279</v>
      </c>
      <c r="E303" s="75" t="s">
        <v>332</v>
      </c>
      <c r="F303" s="76" t="n">
        <v>12.89</v>
      </c>
    </row>
    <row r="304" customFormat="false" ht="15" hidden="false" customHeight="false" outlineLevel="0" collapsed="false">
      <c r="B304" s="75" t="s">
        <v>1280</v>
      </c>
      <c r="C304" s="30" t="s">
        <v>1281</v>
      </c>
      <c r="D304" s="75" t="s">
        <v>1282</v>
      </c>
      <c r="E304" s="75" t="s">
        <v>332</v>
      </c>
      <c r="F304" s="76" t="n">
        <v>442.75</v>
      </c>
    </row>
    <row r="305" customFormat="false" ht="15" hidden="false" customHeight="false" outlineLevel="0" collapsed="false">
      <c r="B305" s="75" t="s">
        <v>1283</v>
      </c>
      <c r="C305" s="30" t="s">
        <v>1284</v>
      </c>
      <c r="D305" s="75" t="s">
        <v>1285</v>
      </c>
      <c r="E305" s="75" t="s">
        <v>332</v>
      </c>
      <c r="F305" s="76" t="n">
        <v>377.75</v>
      </c>
    </row>
    <row r="306" customFormat="false" ht="15" hidden="false" customHeight="false" outlineLevel="0" collapsed="false">
      <c r="B306" s="75" t="s">
        <v>1286</v>
      </c>
      <c r="C306" s="30" t="s">
        <v>1287</v>
      </c>
      <c r="D306" s="75" t="s">
        <v>1288</v>
      </c>
      <c r="E306" s="75" t="s">
        <v>332</v>
      </c>
      <c r="F306" s="76" t="n">
        <v>492.75</v>
      </c>
    </row>
    <row r="307" customFormat="false" ht="15" hidden="false" customHeight="false" outlineLevel="0" collapsed="false">
      <c r="B307" s="75" t="s">
        <v>1289</v>
      </c>
      <c r="C307" s="30" t="s">
        <v>1290</v>
      </c>
      <c r="D307" s="75" t="s">
        <v>1291</v>
      </c>
      <c r="E307" s="75" t="s">
        <v>332</v>
      </c>
      <c r="F307" s="76" t="n">
        <v>427.95</v>
      </c>
    </row>
  </sheetData>
  <mergeCells count="4">
    <mergeCell ref="B2:G2"/>
    <mergeCell ref="B3:G3"/>
    <mergeCell ref="B4:G4"/>
    <mergeCell ref="B160:G1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2026-08-25T15:03:55Z</dcterms:created>
  <dc:creator>openpyxl</dc:creator>
  <dc:description/>
  <dc:language>en-US</dc:language>
  <cp:lastModifiedBy>Felipe Coelho Nery</cp:lastModifiedBy>
  <dcterms:modified xsi:type="dcterms:W3CDTF">2026-08-26T14:50:18Z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